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drawings/drawing3.xml" ContentType="application/vnd.openxmlformats-officedocument.drawing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3D\KSP\kiwiTechTree\Source\"/>
    </mc:Choice>
  </mc:AlternateContent>
  <xr:revisionPtr revIDLastSave="0" documentId="8_{52EFDE12-31F9-4036-A786-78A9C02919D6}" xr6:coauthVersionLast="45" xr6:coauthVersionMax="45" xr10:uidLastSave="{00000000-0000-0000-0000-000000000000}"/>
  <bookViews>
    <workbookView xWindow="-22170" yWindow="75" windowWidth="21915" windowHeight="15480" firstSheet="7" activeTab="11" xr2:uid="{BC5735EA-FBD1-4DCF-ACF5-753F35B52512}"/>
  </bookViews>
  <sheets>
    <sheet name="Reference" sheetId="1" r:id="rId1"/>
    <sheet name="Fuel Cell" sheetId="2" r:id="rId2"/>
    <sheet name="Life Support FLow" sheetId="15" state="hidden" r:id="rId3"/>
    <sheet name="Sabatier" sheetId="3" r:id="rId4"/>
    <sheet name="Elektron" sheetId="14" r:id="rId5"/>
    <sheet name="Part Matrix" sheetId="10" state="hidden" r:id="rId6"/>
    <sheet name="Kerbal Consumption" sheetId="23" r:id="rId7"/>
    <sheet name="Resources" sheetId="7" r:id="rId8"/>
    <sheet name="Part Tables v1" sheetId="9" state="hidden" r:id="rId9"/>
    <sheet name="Part and Category" sheetId="16" state="hidden" r:id="rId10"/>
    <sheet name="Alt Part Tables" sheetId="20" state="hidden" r:id="rId11"/>
    <sheet name="USFuelSwitch Calc" sheetId="25" r:id="rId12"/>
    <sheet name="Heat and Efficiency" sheetId="13" r:id="rId13"/>
    <sheet name="Tank volume calculator" sheetId="12" r:id="rId14"/>
    <sheet name="Ratio Calc" sheetId="17" r:id="rId15"/>
    <sheet name="To Do list" sheetId="26" r:id="rId16"/>
    <sheet name="Part Tables" sheetId="22" r:id="rId17"/>
  </sheets>
  <externalReferences>
    <externalReference r:id="rId18"/>
  </externalReferences>
  <definedNames>
    <definedName name="_xlnm._FilterDatabase" localSheetId="16" hidden="1">'Part Tables'!$A$2:$F$706</definedName>
    <definedName name="CS125Mass">'Part Tables'!$K$280</definedName>
    <definedName name="elektron_SMF">'[1]TAC LS'!$B$127</definedName>
    <definedName name="food_SMF">'[1]TAC LS'!$B$40</definedName>
    <definedName name="FuelCell_Efficency">'Fuel Cell'!$C$12</definedName>
    <definedName name="FuelCell_Throttle">'Fuel Cell'!$C$20</definedName>
    <definedName name="oxygen_SMF">'[1]TAC LS'!$B$18</definedName>
    <definedName name="PowerFactor" localSheetId="13">[1]Processors!$C$12</definedName>
    <definedName name="PowerFactor">Reference!$C$23</definedName>
    <definedName name="QuadCoreMass">'Part Tables'!$K$352</definedName>
    <definedName name="Sabatier_Efficency" localSheetId="4">Elektron!$C$11</definedName>
    <definedName name="Sabatier_Efficency">Sabatier!$C$11</definedName>
    <definedName name="sabatier_RR">[1]Processors!$M$13</definedName>
    <definedName name="sabatier_SMF">'[1]TAC LS'!$B$105</definedName>
    <definedName name="Sabatier_Throttle" localSheetId="4">Elektron!$C$18</definedName>
    <definedName name="Sabatier_Throttle">Sabatier!$C$18</definedName>
    <definedName name="waste_SMF">'[1]TAC LS'!$B$62</definedName>
    <definedName name="water_SMF">'[1]TAC LS'!$B$83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4" i="25" l="1"/>
  <c r="F34" i="25"/>
  <c r="E34" i="25"/>
  <c r="D34" i="25"/>
  <c r="G19" i="25"/>
  <c r="F19" i="25"/>
  <c r="E19" i="25"/>
  <c r="D19" i="25"/>
  <c r="G35" i="25"/>
  <c r="F35" i="25"/>
  <c r="E35" i="25"/>
  <c r="G20" i="25"/>
  <c r="F20" i="25"/>
  <c r="E20" i="25"/>
  <c r="B32" i="25"/>
  <c r="D32" i="25" s="1"/>
  <c r="D33" i="25" s="1"/>
  <c r="I34" i="25" l="1"/>
  <c r="A40" i="25" s="1"/>
  <c r="G32" i="25"/>
  <c r="E32" i="25"/>
  <c r="F32" i="25"/>
  <c r="G33" i="25"/>
  <c r="F33" i="25"/>
  <c r="E33" i="25"/>
  <c r="D63" i="25"/>
  <c r="D62" i="25"/>
  <c r="D61" i="25"/>
  <c r="G60" i="25"/>
  <c r="G61" i="25" s="1"/>
  <c r="F60" i="25"/>
  <c r="F62" i="25" s="1"/>
  <c r="E60" i="25"/>
  <c r="E63" i="25" s="1"/>
  <c r="F56" i="25"/>
  <c r="D56" i="25"/>
  <c r="D55" i="25"/>
  <c r="D54" i="25"/>
  <c r="G53" i="25"/>
  <c r="G54" i="25" s="1"/>
  <c r="F53" i="25"/>
  <c r="F55" i="25" s="1"/>
  <c r="E53" i="25"/>
  <c r="E56" i="25" s="1"/>
  <c r="G49" i="25"/>
  <c r="F49" i="25"/>
  <c r="E49" i="25"/>
  <c r="D49" i="25"/>
  <c r="I49" i="25" s="1"/>
  <c r="G48" i="25"/>
  <c r="F48" i="25"/>
  <c r="E48" i="25"/>
  <c r="D48" i="25"/>
  <c r="G46" i="25"/>
  <c r="F46" i="25"/>
  <c r="E46" i="25"/>
  <c r="D46" i="25"/>
  <c r="D47" i="25" s="1"/>
  <c r="G45" i="25"/>
  <c r="F45" i="25"/>
  <c r="E45" i="25"/>
  <c r="D45" i="25"/>
  <c r="I45" i="25" s="1"/>
  <c r="D20" i="25"/>
  <c r="G17" i="25"/>
  <c r="F17" i="25"/>
  <c r="E17" i="25"/>
  <c r="D17" i="25"/>
  <c r="D18" i="25" s="1"/>
  <c r="A10" i="25"/>
  <c r="G6" i="25"/>
  <c r="F6" i="25"/>
  <c r="E6" i="25"/>
  <c r="I6" i="25" s="1"/>
  <c r="A12" i="25" s="1"/>
  <c r="G5" i="25"/>
  <c r="F5" i="25"/>
  <c r="E5" i="25"/>
  <c r="G4" i="25"/>
  <c r="F4" i="25"/>
  <c r="E4" i="25"/>
  <c r="D4" i="25"/>
  <c r="D35" i="25" l="1"/>
  <c r="I35" i="25" s="1"/>
  <c r="A41" i="25" s="1"/>
  <c r="I32" i="25"/>
  <c r="A39" i="25" s="1"/>
  <c r="G56" i="25"/>
  <c r="I4" i="25"/>
  <c r="A9" i="25" s="1"/>
  <c r="I56" i="25"/>
  <c r="G62" i="25"/>
  <c r="I5" i="25"/>
  <c r="A11" i="25" s="1"/>
  <c r="I48" i="25"/>
  <c r="F63" i="25"/>
  <c r="I63" i="25" s="1"/>
  <c r="G55" i="25"/>
  <c r="G63" i="25"/>
  <c r="F18" i="25"/>
  <c r="E18" i="25"/>
  <c r="G18" i="25"/>
  <c r="F47" i="25"/>
  <c r="E47" i="25"/>
  <c r="G47" i="25"/>
  <c r="E54" i="25"/>
  <c r="E61" i="25"/>
  <c r="F54" i="25"/>
  <c r="E55" i="25"/>
  <c r="I55" i="25" s="1"/>
  <c r="F61" i="25"/>
  <c r="E62" i="25"/>
  <c r="I62" i="25" s="1"/>
  <c r="I20" i="25"/>
  <c r="A26" i="25" s="1"/>
  <c r="I53" i="25"/>
  <c r="I60" i="25"/>
  <c r="J91" i="22"/>
  <c r="K91" i="22" s="1"/>
  <c r="P595" i="22"/>
  <c r="O582" i="22"/>
  <c r="O581" i="22"/>
  <c r="P581" i="22" s="1"/>
  <c r="N593" i="22" s="1"/>
  <c r="O593" i="22" s="1"/>
  <c r="P593" i="22" s="1"/>
  <c r="O580" i="22"/>
  <c r="O579" i="22"/>
  <c r="U596" i="22"/>
  <c r="U595" i="22"/>
  <c r="P596" i="22"/>
  <c r="U584" i="22"/>
  <c r="U583" i="22"/>
  <c r="U582" i="22"/>
  <c r="U581" i="22"/>
  <c r="S593" i="22" s="1"/>
  <c r="T593" i="22" s="1"/>
  <c r="U593" i="22" s="1"/>
  <c r="U580" i="22"/>
  <c r="S592" i="22" s="1"/>
  <c r="U579" i="22"/>
  <c r="U578" i="22"/>
  <c r="A38" i="25" l="1"/>
  <c r="I17" i="25"/>
  <c r="A24" i="25" s="1"/>
  <c r="I54" i="25"/>
  <c r="I19" i="25"/>
  <c r="A25" i="25" s="1"/>
  <c r="I61" i="25"/>
  <c r="I46" i="25"/>
  <c r="D50" i="25" s="1"/>
  <c r="A67" i="25" s="1"/>
  <c r="D57" i="25"/>
  <c r="A68" i="25" s="1"/>
  <c r="D64" i="25"/>
  <c r="A69" i="25" s="1"/>
  <c r="T592" i="22"/>
  <c r="U592" i="22" s="1"/>
  <c r="S615" i="22"/>
  <c r="S605" i="22"/>
  <c r="T605" i="22" s="1"/>
  <c r="U605" i="22" s="1"/>
  <c r="T646" i="22"/>
  <c r="U646" i="22" s="1"/>
  <c r="T645" i="22"/>
  <c r="U645" i="22" s="1"/>
  <c r="T644" i="22"/>
  <c r="U644" i="22" s="1"/>
  <c r="T636" i="22"/>
  <c r="U636" i="22" s="1"/>
  <c r="T635" i="22"/>
  <c r="U635" i="22" s="1"/>
  <c r="T634" i="22"/>
  <c r="U634" i="22" s="1"/>
  <c r="T626" i="22"/>
  <c r="U626" i="22" s="1"/>
  <c r="T625" i="22"/>
  <c r="U625" i="22" s="1"/>
  <c r="T624" i="22"/>
  <c r="U624" i="22" s="1"/>
  <c r="T616" i="22"/>
  <c r="U616" i="22" s="1"/>
  <c r="T615" i="22"/>
  <c r="U615" i="22" s="1"/>
  <c r="T614" i="22"/>
  <c r="U614" i="22" s="1"/>
  <c r="T606" i="22"/>
  <c r="U606" i="22" s="1"/>
  <c r="T604" i="22"/>
  <c r="U604" i="22" s="1"/>
  <c r="K655" i="22"/>
  <c r="A23" i="25" l="1"/>
  <c r="A66" i="25"/>
  <c r="AD688" i="22"/>
  <c r="AE688" i="22" s="1"/>
  <c r="AD687" i="22"/>
  <c r="AE687" i="22" s="1"/>
  <c r="AD686" i="22"/>
  <c r="AE686" i="22" s="1"/>
  <c r="AD680" i="22"/>
  <c r="AE680" i="22" s="1"/>
  <c r="AD679" i="22"/>
  <c r="AE679" i="22" s="1"/>
  <c r="AD678" i="22"/>
  <c r="AE678" i="22" s="1"/>
  <c r="AD672" i="22"/>
  <c r="AE672" i="22" s="1"/>
  <c r="AD671" i="22"/>
  <c r="AE671" i="22" s="1"/>
  <c r="AE670" i="22"/>
  <c r="AD664" i="22"/>
  <c r="AE664" i="22" s="1"/>
  <c r="AD696" i="22"/>
  <c r="AE696" i="22" s="1"/>
  <c r="AD695" i="22"/>
  <c r="AE695" i="22" s="1"/>
  <c r="AD694" i="22"/>
  <c r="AD646" i="22"/>
  <c r="AE646" i="22" s="1"/>
  <c r="AD645" i="22"/>
  <c r="AE645" i="22" s="1"/>
  <c r="AD644" i="22"/>
  <c r="AE644" i="22" s="1"/>
  <c r="AD636" i="22"/>
  <c r="AE636" i="22" s="1"/>
  <c r="AD635" i="22"/>
  <c r="AE635" i="22" s="1"/>
  <c r="AD634" i="22"/>
  <c r="AE634" i="22" s="1"/>
  <c r="AD606" i="22"/>
  <c r="AD605" i="22"/>
  <c r="AD604" i="22"/>
  <c r="Y606" i="22" l="1"/>
  <c r="Y688" i="22"/>
  <c r="Y694" i="22"/>
  <c r="Z694" i="22" s="1"/>
  <c r="Y695" i="22"/>
  <c r="Y696" i="22"/>
  <c r="Z696" i="22" s="1"/>
  <c r="Y687" i="22"/>
  <c r="Y686" i="22"/>
  <c r="Z686" i="22" s="1"/>
  <c r="Y680" i="22"/>
  <c r="Z680" i="22" s="1"/>
  <c r="Y679" i="22"/>
  <c r="Y678" i="22"/>
  <c r="Z678" i="22" s="1"/>
  <c r="Y672" i="22"/>
  <c r="Y671" i="22"/>
  <c r="Z670" i="22"/>
  <c r="Y664" i="22"/>
  <c r="Z654" i="22"/>
  <c r="T672" i="22"/>
  <c r="T671" i="22"/>
  <c r="U670" i="22"/>
  <c r="T664" i="22"/>
  <c r="O688" i="22"/>
  <c r="O687" i="22"/>
  <c r="O686" i="22"/>
  <c r="P686" i="22" s="1"/>
  <c r="O680" i="22"/>
  <c r="O679" i="22"/>
  <c r="O678" i="22"/>
  <c r="P678" i="22" s="1"/>
  <c r="O672" i="22"/>
  <c r="O671" i="22"/>
  <c r="P670" i="22"/>
  <c r="O664" i="22"/>
  <c r="P655" i="22"/>
  <c r="P654" i="22"/>
  <c r="T704" i="22"/>
  <c r="U704" i="22" s="1"/>
  <c r="T703" i="22"/>
  <c r="T702" i="22"/>
  <c r="U702" i="22" s="1"/>
  <c r="T696" i="22"/>
  <c r="U696" i="22" s="1"/>
  <c r="T695" i="22"/>
  <c r="T694" i="22"/>
  <c r="U694" i="22" s="1"/>
  <c r="T688" i="22"/>
  <c r="T687" i="22"/>
  <c r="T686" i="22"/>
  <c r="U686" i="22" s="1"/>
  <c r="T680" i="22"/>
  <c r="U680" i="22" s="1"/>
  <c r="T679" i="22"/>
  <c r="T678" i="22"/>
  <c r="U678" i="22" s="1"/>
  <c r="T133" i="22"/>
  <c r="U133" i="22" s="1"/>
  <c r="T132" i="22"/>
  <c r="U132" i="22" s="1"/>
  <c r="T143" i="22"/>
  <c r="U143" i="22" s="1"/>
  <c r="T142" i="22"/>
  <c r="U142" i="22" s="1"/>
  <c r="T141" i="22"/>
  <c r="U141" i="22" s="1"/>
  <c r="S594" i="22" s="1"/>
  <c r="T594" i="22" s="1"/>
  <c r="U594" i="22" s="1"/>
  <c r="T131" i="22"/>
  <c r="U131" i="22" s="1"/>
  <c r="O704" i="22"/>
  <c r="O702" i="22"/>
  <c r="O694" i="22"/>
  <c r="O696" i="22"/>
  <c r="O646" i="22"/>
  <c r="O644" i="22"/>
  <c r="O636" i="22"/>
  <c r="O626" i="22" s="1"/>
  <c r="O634" i="22"/>
  <c r="O624" i="22"/>
  <c r="O616" i="22"/>
  <c r="O606" i="22" s="1"/>
  <c r="O614" i="22"/>
  <c r="O604" i="22"/>
  <c r="C9" i="23"/>
  <c r="C8" i="23"/>
  <c r="C7" i="23"/>
  <c r="C6" i="23"/>
  <c r="O551" i="22"/>
  <c r="N550" i="22"/>
  <c r="O550" i="22" s="1"/>
  <c r="O570" i="22"/>
  <c r="O569" i="22"/>
  <c r="N568" i="22"/>
  <c r="O568" i="22" s="1"/>
  <c r="N567" i="22"/>
  <c r="O567" i="22" s="1"/>
  <c r="N565" i="22"/>
  <c r="O565" i="22" s="1"/>
  <c r="P565" i="22" s="1"/>
  <c r="N566" i="22"/>
  <c r="O566" i="22" s="1"/>
  <c r="O557" i="22"/>
  <c r="O556" i="22"/>
  <c r="O555" i="22"/>
  <c r="O554" i="22"/>
  <c r="O553" i="22"/>
  <c r="O552" i="22"/>
  <c r="O141" i="22"/>
  <c r="J68" i="22"/>
  <c r="J67" i="22"/>
  <c r="J66" i="22"/>
  <c r="J65" i="22"/>
  <c r="J63" i="22"/>
  <c r="P664" i="22" l="1"/>
  <c r="Z687" i="22"/>
  <c r="P679" i="22"/>
  <c r="P688" i="22"/>
  <c r="U688" i="22"/>
  <c r="Z671" i="22"/>
  <c r="Z695" i="22"/>
  <c r="U679" i="22"/>
  <c r="Z679" i="22"/>
  <c r="U695" i="22"/>
  <c r="Z672" i="22"/>
  <c r="U703" i="22"/>
  <c r="U687" i="22"/>
  <c r="Z664" i="22"/>
  <c r="Z688" i="22"/>
  <c r="P671" i="22"/>
  <c r="P680" i="22"/>
  <c r="U672" i="22"/>
  <c r="P672" i="22"/>
  <c r="U664" i="22"/>
  <c r="U671" i="22"/>
  <c r="P687" i="22"/>
  <c r="J686" i="22"/>
  <c r="J678" i="22"/>
  <c r="K578" i="22"/>
  <c r="K579" i="22"/>
  <c r="J580" i="22"/>
  <c r="K580" i="22" s="1"/>
  <c r="J541" i="22"/>
  <c r="K541" i="22" s="1"/>
  <c r="J542" i="22"/>
  <c r="K542" i="22" s="1"/>
  <c r="J540" i="22"/>
  <c r="K540" i="22" s="1"/>
  <c r="J539" i="22"/>
  <c r="K539" i="22" s="1"/>
  <c r="J538" i="22"/>
  <c r="K538" i="22" s="1"/>
  <c r="J537" i="22"/>
  <c r="K537" i="22" s="1"/>
  <c r="I518" i="22"/>
  <c r="I483" i="22"/>
  <c r="I464" i="22" l="1"/>
  <c r="I463" i="22"/>
  <c r="J474" i="22"/>
  <c r="K474" i="22" s="1"/>
  <c r="J473" i="22"/>
  <c r="K473" i="22" s="1"/>
  <c r="J472" i="22"/>
  <c r="K472" i="22" s="1"/>
  <c r="J462" i="22"/>
  <c r="J323" i="22"/>
  <c r="K323" i="22" s="1"/>
  <c r="J322" i="22"/>
  <c r="K322" i="22" s="1"/>
  <c r="J321" i="22"/>
  <c r="K321" i="22" s="1"/>
  <c r="J297" i="22"/>
  <c r="K297" i="22" s="1"/>
  <c r="J296" i="22"/>
  <c r="K296" i="22" s="1"/>
  <c r="J295" i="22"/>
  <c r="K295" i="22" s="1"/>
  <c r="I212" i="22"/>
  <c r="J209" i="22" s="1"/>
  <c r="K209" i="22" s="1"/>
  <c r="J159" i="22"/>
  <c r="K159" i="22" s="1"/>
  <c r="J158" i="22"/>
  <c r="K158" i="22" s="1"/>
  <c r="J211" i="22" l="1"/>
  <c r="K211" i="22" s="1"/>
  <c r="J210" i="22"/>
  <c r="K210" i="22" s="1"/>
  <c r="J53" i="22"/>
  <c r="K435" i="22" l="1"/>
  <c r="K226" i="22"/>
  <c r="K200" i="22"/>
  <c r="K201" i="22" s="1"/>
  <c r="K367" i="22"/>
  <c r="K368" i="22" s="1"/>
  <c r="K401" i="22"/>
  <c r="K402" i="22" s="1"/>
  <c r="AE694" i="22"/>
  <c r="AE604" i="22"/>
  <c r="Z604" i="22"/>
  <c r="P555" i="22"/>
  <c r="P582" i="22"/>
  <c r="P614" i="22"/>
  <c r="P624" i="22"/>
  <c r="P634" i="22"/>
  <c r="P644" i="22"/>
  <c r="P694" i="22"/>
  <c r="P702" i="22"/>
  <c r="K686" i="22"/>
  <c r="K678" i="22"/>
  <c r="K670" i="22"/>
  <c r="K614" i="22"/>
  <c r="K452" i="22"/>
  <c r="K444" i="22"/>
  <c r="K418" i="22"/>
  <c r="K410" i="22"/>
  <c r="K384" i="22"/>
  <c r="K376" i="22"/>
  <c r="K192" i="22"/>
  <c r="K67" i="22"/>
  <c r="P554" i="22"/>
  <c r="P553" i="22"/>
  <c r="P552" i="22"/>
  <c r="P551" i="22"/>
  <c r="P550" i="22"/>
  <c r="P566" i="22"/>
  <c r="P580" i="22"/>
  <c r="N592" i="22" s="1"/>
  <c r="O592" i="22" s="1"/>
  <c r="P592" i="22" s="1"/>
  <c r="P579" i="22"/>
  <c r="P578" i="22"/>
  <c r="K66" i="22"/>
  <c r="I80" i="22" s="1"/>
  <c r="K65" i="22"/>
  <c r="I79" i="22" s="1"/>
  <c r="K63" i="22"/>
  <c r="I77" i="22" s="1"/>
  <c r="K53" i="22"/>
  <c r="AE605" i="22"/>
  <c r="Z606" i="22"/>
  <c r="Y605" i="22"/>
  <c r="Z605" i="22" s="1"/>
  <c r="P704" i="22"/>
  <c r="O703" i="22"/>
  <c r="P703" i="22" s="1"/>
  <c r="P696" i="22"/>
  <c r="O695" i="22"/>
  <c r="P695" i="22" s="1"/>
  <c r="O645" i="22"/>
  <c r="P645" i="22" s="1"/>
  <c r="O635" i="22"/>
  <c r="P635" i="22" s="1"/>
  <c r="O625" i="22"/>
  <c r="P625" i="22" s="1"/>
  <c r="O615" i="22"/>
  <c r="P615" i="22" s="1"/>
  <c r="O605" i="22"/>
  <c r="P605" i="22" s="1"/>
  <c r="P584" i="22"/>
  <c r="O142" i="22"/>
  <c r="P142" i="22" s="1"/>
  <c r="P556" i="22"/>
  <c r="P569" i="22"/>
  <c r="P567" i="22"/>
  <c r="P583" i="22"/>
  <c r="J688" i="22"/>
  <c r="J687" i="22"/>
  <c r="J680" i="22"/>
  <c r="J679" i="22"/>
  <c r="J672" i="22"/>
  <c r="J671" i="22"/>
  <c r="J664" i="22"/>
  <c r="K654" i="22"/>
  <c r="J615" i="22"/>
  <c r="K615" i="22" s="1"/>
  <c r="J581" i="22"/>
  <c r="K581" i="22" s="1"/>
  <c r="J529" i="22"/>
  <c r="K529" i="22" s="1"/>
  <c r="J528" i="22"/>
  <c r="K528" i="22" s="1"/>
  <c r="J509" i="22"/>
  <c r="K509" i="22" s="1"/>
  <c r="J500" i="22"/>
  <c r="K500" i="22" s="1"/>
  <c r="J491" i="22"/>
  <c r="K491" i="22" s="1"/>
  <c r="J464" i="22"/>
  <c r="K464" i="22" s="1"/>
  <c r="J463" i="22"/>
  <c r="K463" i="22" s="1"/>
  <c r="J454" i="22"/>
  <c r="K454" i="22" s="1"/>
  <c r="J453" i="22"/>
  <c r="K453" i="22" s="1"/>
  <c r="J446" i="22"/>
  <c r="K446" i="22" s="1"/>
  <c r="J445" i="22"/>
  <c r="K445" i="22" s="1"/>
  <c r="J438" i="22"/>
  <c r="K438" i="22" s="1"/>
  <c r="J437" i="22"/>
  <c r="K437" i="22" s="1"/>
  <c r="J420" i="22"/>
  <c r="K420" i="22" s="1"/>
  <c r="J419" i="22"/>
  <c r="K419" i="22" s="1"/>
  <c r="J411" i="22"/>
  <c r="K411" i="22" s="1"/>
  <c r="J404" i="22"/>
  <c r="K404" i="22" s="1"/>
  <c r="J403" i="22"/>
  <c r="K403" i="22" s="1"/>
  <c r="J385" i="22"/>
  <c r="K385" i="22" s="1"/>
  <c r="J377" i="22"/>
  <c r="K377" i="22" s="1"/>
  <c r="J369" i="22"/>
  <c r="K369" i="22" s="1"/>
  <c r="J332" i="22"/>
  <c r="K332" i="22" s="1"/>
  <c r="I342" i="22" s="1"/>
  <c r="J342" i="22" s="1"/>
  <c r="K342" i="22" s="1"/>
  <c r="J280" i="22"/>
  <c r="K280" i="22" s="1"/>
  <c r="J279" i="22"/>
  <c r="K279" i="22" s="1"/>
  <c r="J271" i="22"/>
  <c r="K271" i="22" s="1"/>
  <c r="J270" i="22"/>
  <c r="K270" i="22" s="1"/>
  <c r="J254" i="22"/>
  <c r="K254" i="22" s="1"/>
  <c r="J253" i="22"/>
  <c r="K253" i="22" s="1"/>
  <c r="J202" i="22"/>
  <c r="K202" i="22" s="1"/>
  <c r="J194" i="22"/>
  <c r="K194" i="22" s="1"/>
  <c r="J193" i="22"/>
  <c r="K193" i="22" s="1"/>
  <c r="J236" i="22"/>
  <c r="K236" i="22" s="1"/>
  <c r="J229" i="22"/>
  <c r="K229" i="22" s="1"/>
  <c r="J228" i="22"/>
  <c r="K228" i="22" s="1"/>
  <c r="J176" i="22"/>
  <c r="K176" i="22" s="1"/>
  <c r="J142" i="22"/>
  <c r="K142" i="22" s="1"/>
  <c r="J132" i="22"/>
  <c r="K132" i="22" s="1"/>
  <c r="J122" i="22"/>
  <c r="K122" i="22" s="1"/>
  <c r="J112" i="22"/>
  <c r="K112" i="22" s="1"/>
  <c r="J102" i="22"/>
  <c r="K102" i="22" s="1"/>
  <c r="J101" i="22"/>
  <c r="K68" i="22"/>
  <c r="J45" i="22"/>
  <c r="K45" i="22" s="1"/>
  <c r="J44" i="22"/>
  <c r="K44" i="22" s="1"/>
  <c r="J35" i="22"/>
  <c r="K35" i="22" s="1"/>
  <c r="J26" i="22"/>
  <c r="K26" i="22" s="1"/>
  <c r="J17" i="22"/>
  <c r="K17" i="22" s="1"/>
  <c r="J8" i="22"/>
  <c r="K8" i="22" s="1"/>
  <c r="J527" i="22"/>
  <c r="K527" i="22" s="1"/>
  <c r="K462" i="22"/>
  <c r="K341" i="22"/>
  <c r="K331" i="22"/>
  <c r="I341" i="22" s="1"/>
  <c r="J269" i="22"/>
  <c r="K269" i="22" s="1"/>
  <c r="J252" i="22"/>
  <c r="K252" i="22" s="1"/>
  <c r="J175" i="22"/>
  <c r="K175" i="22" s="1"/>
  <c r="K69" i="9"/>
  <c r="I519" i="22"/>
  <c r="J519" i="22" s="1"/>
  <c r="K519" i="22" s="1"/>
  <c r="J518" i="22"/>
  <c r="K518" i="22" s="1"/>
  <c r="I482" i="22"/>
  <c r="J482" i="22" s="1"/>
  <c r="K482" i="22" s="1"/>
  <c r="P141" i="22"/>
  <c r="J141" i="22"/>
  <c r="K141" i="22" s="1"/>
  <c r="J131" i="22"/>
  <c r="K131" i="22" s="1"/>
  <c r="J121" i="22"/>
  <c r="K121" i="22" s="1"/>
  <c r="J111" i="22"/>
  <c r="J110" i="22"/>
  <c r="K110" i="22" s="1"/>
  <c r="K111" i="22" s="1"/>
  <c r="N594" i="22" l="1"/>
  <c r="O594" i="22" s="1"/>
  <c r="P594" i="22" s="1"/>
  <c r="J79" i="22"/>
  <c r="K79" i="22" s="1"/>
  <c r="J64" i="22"/>
  <c r="K64" i="22" s="1"/>
  <c r="I78" i="22" s="1"/>
  <c r="J80" i="22" s="1"/>
  <c r="K80" i="22" s="1"/>
  <c r="K227" i="22"/>
  <c r="J36" i="22"/>
  <c r="J177" i="22"/>
  <c r="J237" i="22"/>
  <c r="J370" i="22"/>
  <c r="K370" i="22" s="1"/>
  <c r="J386" i="22"/>
  <c r="K386" i="22" s="1"/>
  <c r="J412" i="22"/>
  <c r="J510" i="22"/>
  <c r="K436" i="22"/>
  <c r="K101" i="22"/>
  <c r="J92" i="22"/>
  <c r="K92" i="22" s="1"/>
  <c r="I81" i="22"/>
  <c r="J81" i="22" s="1"/>
  <c r="K81" i="22" s="1"/>
  <c r="K671" i="22"/>
  <c r="K687" i="22"/>
  <c r="K664" i="22"/>
  <c r="K680" i="22"/>
  <c r="K672" i="22"/>
  <c r="K688" i="22"/>
  <c r="K679" i="22"/>
  <c r="I314" i="22"/>
  <c r="I219" i="22"/>
  <c r="I185" i="22"/>
  <c r="J151" i="22" s="1"/>
  <c r="K151" i="22" s="1"/>
  <c r="I288" i="22"/>
  <c r="J305" i="22"/>
  <c r="K305" i="22" s="1"/>
  <c r="I168" i="22"/>
  <c r="J168" i="22" s="1"/>
  <c r="K168" i="22" s="1"/>
  <c r="I262" i="22"/>
  <c r="J262" i="22" s="1"/>
  <c r="K262" i="22" s="1"/>
  <c r="I245" i="22"/>
  <c r="I186" i="22"/>
  <c r="I289" i="22"/>
  <c r="I169" i="22"/>
  <c r="I263" i="22"/>
  <c r="I246" i="22"/>
  <c r="I315" i="22"/>
  <c r="J315" i="22" s="1"/>
  <c r="K315" i="22" s="1"/>
  <c r="I220" i="22"/>
  <c r="O143" i="22"/>
  <c r="P143" i="22" s="1"/>
  <c r="P570" i="22"/>
  <c r="J616" i="22"/>
  <c r="K616" i="22" s="1"/>
  <c r="J113" i="22"/>
  <c r="K113" i="22" s="1"/>
  <c r="J55" i="22"/>
  <c r="K55" i="22" s="1"/>
  <c r="AE606" i="22"/>
  <c r="P636" i="22"/>
  <c r="P616" i="22"/>
  <c r="P604" i="22"/>
  <c r="P626" i="22"/>
  <c r="P557" i="22"/>
  <c r="P568" i="22"/>
  <c r="P646" i="22"/>
  <c r="P606" i="22"/>
  <c r="H32" i="3"/>
  <c r="G32" i="3"/>
  <c r="F32" i="3"/>
  <c r="E32" i="3"/>
  <c r="D32" i="3"/>
  <c r="J185" i="22" l="1"/>
  <c r="K185" i="22" s="1"/>
  <c r="J77" i="22"/>
  <c r="K77" i="22" s="1"/>
  <c r="K36" i="22"/>
  <c r="J27" i="22"/>
  <c r="J143" i="22"/>
  <c r="J306" i="22"/>
  <c r="K306" i="22" s="1"/>
  <c r="J219" i="22"/>
  <c r="K219" i="22" s="1"/>
  <c r="J351" i="22"/>
  <c r="K351" i="22" s="1"/>
  <c r="K510" i="22"/>
  <c r="J501" i="22"/>
  <c r="K237" i="22"/>
  <c r="J203" i="22"/>
  <c r="K203" i="22" s="1"/>
  <c r="J78" i="22"/>
  <c r="K78" i="22" s="1"/>
  <c r="J100" i="22"/>
  <c r="K100" i="22" s="1"/>
  <c r="J54" i="22"/>
  <c r="K54" i="22" s="1"/>
  <c r="I82" i="22" s="1"/>
  <c r="J82" i="22" s="1"/>
  <c r="K82" i="22" s="1"/>
  <c r="J314" i="22"/>
  <c r="K314" i="22" s="1"/>
  <c r="J289" i="22"/>
  <c r="K289" i="22" s="1"/>
  <c r="J288" i="22"/>
  <c r="K288" i="22" s="1"/>
  <c r="K412" i="22"/>
  <c r="J378" i="22"/>
  <c r="K378" i="22" s="1"/>
  <c r="K177" i="22"/>
  <c r="J160" i="22"/>
  <c r="K160" i="22" s="1"/>
  <c r="J245" i="22"/>
  <c r="K245" i="22" s="1"/>
  <c r="C20" i="17"/>
  <c r="D20" i="17" s="1"/>
  <c r="C21" i="17"/>
  <c r="D21" i="17" s="1"/>
  <c r="C22" i="17"/>
  <c r="D22" i="17" s="1"/>
  <c r="C23" i="17"/>
  <c r="D23" i="17" s="1"/>
  <c r="C24" i="17"/>
  <c r="D24" i="17" s="1"/>
  <c r="C25" i="17"/>
  <c r="D25" i="17" s="1"/>
  <c r="C26" i="17"/>
  <c r="D26" i="17" s="1"/>
  <c r="C27" i="17"/>
  <c r="D27" i="17" s="1"/>
  <c r="C28" i="17"/>
  <c r="D28" i="17" s="1"/>
  <c r="C29" i="17"/>
  <c r="D29" i="17" s="1"/>
  <c r="C30" i="17"/>
  <c r="D30" i="17" s="1"/>
  <c r="C31" i="17"/>
  <c r="D31" i="17" s="1"/>
  <c r="C32" i="17"/>
  <c r="D32" i="17" s="1"/>
  <c r="C33" i="17"/>
  <c r="D33" i="17" s="1"/>
  <c r="C34" i="17"/>
  <c r="D34" i="17" s="1"/>
  <c r="C35" i="17"/>
  <c r="D35" i="17" s="1"/>
  <c r="C36" i="17"/>
  <c r="D36" i="17" s="1"/>
  <c r="C37" i="17"/>
  <c r="D37" i="17" s="1"/>
  <c r="C38" i="17"/>
  <c r="D38" i="17" s="1"/>
  <c r="C39" i="17"/>
  <c r="D39" i="17" s="1"/>
  <c r="C40" i="17"/>
  <c r="D40" i="17" s="1"/>
  <c r="C41" i="17"/>
  <c r="D41" i="17" s="1"/>
  <c r="C42" i="17"/>
  <c r="D42" i="17" s="1"/>
  <c r="C43" i="17"/>
  <c r="D43" i="17" s="1"/>
  <c r="C44" i="17"/>
  <c r="D44" i="17" s="1"/>
  <c r="C45" i="17"/>
  <c r="D45" i="17" s="1"/>
  <c r="C46" i="17"/>
  <c r="D46" i="17" s="1"/>
  <c r="C47" i="17"/>
  <c r="D47" i="17" s="1"/>
  <c r="C48" i="17"/>
  <c r="D48" i="17" s="1"/>
  <c r="C49" i="17"/>
  <c r="D49" i="17" s="1"/>
  <c r="C50" i="17"/>
  <c r="D50" i="17" s="1"/>
  <c r="C51" i="17"/>
  <c r="D51" i="17" s="1"/>
  <c r="C52" i="17"/>
  <c r="D52" i="17" s="1"/>
  <c r="C53" i="17"/>
  <c r="D53" i="17" s="1"/>
  <c r="C54" i="17"/>
  <c r="D54" i="17" s="1"/>
  <c r="C55" i="17"/>
  <c r="D55" i="17" s="1"/>
  <c r="C56" i="17"/>
  <c r="D56" i="17" s="1"/>
  <c r="C57" i="17"/>
  <c r="D57" i="17" s="1"/>
  <c r="C58" i="17"/>
  <c r="D58" i="17" s="1"/>
  <c r="C59" i="17"/>
  <c r="D59" i="17" s="1"/>
  <c r="C60" i="17"/>
  <c r="D60" i="17" s="1"/>
  <c r="C61" i="17"/>
  <c r="D61" i="17" s="1"/>
  <c r="C62" i="17"/>
  <c r="D62" i="17" s="1"/>
  <c r="C63" i="17"/>
  <c r="D63" i="17" s="1"/>
  <c r="C64" i="17"/>
  <c r="D64" i="17" s="1"/>
  <c r="C65" i="17"/>
  <c r="D65" i="17" s="1"/>
  <c r="C66" i="17"/>
  <c r="D66" i="17" s="1"/>
  <c r="C67" i="17"/>
  <c r="D67" i="17" s="1"/>
  <c r="C68" i="17"/>
  <c r="D68" i="17" s="1"/>
  <c r="C69" i="17"/>
  <c r="D69" i="17" s="1"/>
  <c r="C70" i="17"/>
  <c r="D70" i="17" s="1"/>
  <c r="C71" i="17"/>
  <c r="D71" i="17" s="1"/>
  <c r="C72" i="17"/>
  <c r="D72" i="17" s="1"/>
  <c r="C73" i="17"/>
  <c r="D73" i="17" s="1"/>
  <c r="C74" i="17"/>
  <c r="D74" i="17" s="1"/>
  <c r="C75" i="17"/>
  <c r="D75" i="17" s="1"/>
  <c r="C76" i="17"/>
  <c r="D76" i="17" s="1"/>
  <c r="C77" i="17"/>
  <c r="D77" i="17" s="1"/>
  <c r="C78" i="17"/>
  <c r="D78" i="17" s="1"/>
  <c r="C79" i="17"/>
  <c r="D79" i="17" s="1"/>
  <c r="C80" i="17"/>
  <c r="D80" i="17" s="1"/>
  <c r="C81" i="17"/>
  <c r="D81" i="17" s="1"/>
  <c r="C82" i="17"/>
  <c r="D82" i="17" s="1"/>
  <c r="C83" i="17"/>
  <c r="D83" i="17" s="1"/>
  <c r="C84" i="17"/>
  <c r="D84" i="17" s="1"/>
  <c r="C85" i="17"/>
  <c r="D85" i="17" s="1"/>
  <c r="C86" i="17"/>
  <c r="D86" i="17" s="1"/>
  <c r="C87" i="17"/>
  <c r="D87" i="17" s="1"/>
  <c r="C88" i="17"/>
  <c r="D88" i="17" s="1"/>
  <c r="C89" i="17"/>
  <c r="D89" i="17" s="1"/>
  <c r="C90" i="17"/>
  <c r="D90" i="17" s="1"/>
  <c r="C91" i="17"/>
  <c r="D91" i="17" s="1"/>
  <c r="C92" i="17"/>
  <c r="D92" i="17" s="1"/>
  <c r="C93" i="17"/>
  <c r="D93" i="17" s="1"/>
  <c r="C94" i="17"/>
  <c r="D94" i="17" s="1"/>
  <c r="C95" i="17"/>
  <c r="D95" i="17" s="1"/>
  <c r="C96" i="17"/>
  <c r="D96" i="17" s="1"/>
  <c r="C97" i="17"/>
  <c r="D97" i="17" s="1"/>
  <c r="C98" i="17"/>
  <c r="D98" i="17" s="1"/>
  <c r="C99" i="17"/>
  <c r="D99" i="17" s="1"/>
  <c r="C100" i="17"/>
  <c r="D100" i="17" s="1"/>
  <c r="C101" i="17"/>
  <c r="D101" i="17" s="1"/>
  <c r="C102" i="17"/>
  <c r="D102" i="17" s="1"/>
  <c r="C103" i="17"/>
  <c r="D103" i="17" s="1"/>
  <c r="C104" i="17"/>
  <c r="D104" i="17" s="1"/>
  <c r="C105" i="17"/>
  <c r="D105" i="17" s="1"/>
  <c r="C106" i="17"/>
  <c r="D106" i="17" s="1"/>
  <c r="C107" i="17"/>
  <c r="D107" i="17" s="1"/>
  <c r="C108" i="17"/>
  <c r="D108" i="17" s="1"/>
  <c r="C109" i="17"/>
  <c r="D109" i="17" s="1"/>
  <c r="C110" i="17"/>
  <c r="D110" i="17" s="1"/>
  <c r="C111" i="17"/>
  <c r="D111" i="17" s="1"/>
  <c r="C112" i="17"/>
  <c r="D112" i="17" s="1"/>
  <c r="C113" i="17"/>
  <c r="D113" i="17" s="1"/>
  <c r="C114" i="17"/>
  <c r="D114" i="17" s="1"/>
  <c r="C115" i="17"/>
  <c r="D115" i="17" s="1"/>
  <c r="C116" i="17"/>
  <c r="D116" i="17" s="1"/>
  <c r="C117" i="17"/>
  <c r="D117" i="17" s="1"/>
  <c r="C118" i="17"/>
  <c r="D118" i="17" s="1"/>
  <c r="C119" i="17"/>
  <c r="D119" i="17" s="1"/>
  <c r="C120" i="17"/>
  <c r="D120" i="17" s="1"/>
  <c r="C121" i="17"/>
  <c r="D121" i="17" s="1"/>
  <c r="C122" i="17"/>
  <c r="D122" i="17" s="1"/>
  <c r="C123" i="17"/>
  <c r="D123" i="17" s="1"/>
  <c r="C124" i="17"/>
  <c r="D124" i="17" s="1"/>
  <c r="C125" i="17"/>
  <c r="D125" i="17" s="1"/>
  <c r="C126" i="17"/>
  <c r="D126" i="17" s="1"/>
  <c r="C127" i="17"/>
  <c r="D127" i="17" s="1"/>
  <c r="C128" i="17"/>
  <c r="D128" i="17" s="1"/>
  <c r="C129" i="17"/>
  <c r="D129" i="17" s="1"/>
  <c r="C130" i="17"/>
  <c r="D130" i="17" s="1"/>
  <c r="C131" i="17"/>
  <c r="D131" i="17" s="1"/>
  <c r="C132" i="17"/>
  <c r="D132" i="17" s="1"/>
  <c r="C133" i="17"/>
  <c r="D133" i="17" s="1"/>
  <c r="C134" i="17"/>
  <c r="D134" i="17" s="1"/>
  <c r="C135" i="17"/>
  <c r="D135" i="17" s="1"/>
  <c r="C136" i="17"/>
  <c r="D136" i="17" s="1"/>
  <c r="C137" i="17"/>
  <c r="D137" i="17" s="1"/>
  <c r="C138" i="17"/>
  <c r="D138" i="17" s="1"/>
  <c r="C139" i="17"/>
  <c r="D139" i="17" s="1"/>
  <c r="C140" i="17"/>
  <c r="D140" i="17" s="1"/>
  <c r="C141" i="17"/>
  <c r="D141" i="17" s="1"/>
  <c r="C142" i="17"/>
  <c r="D142" i="17" s="1"/>
  <c r="C143" i="17"/>
  <c r="D143" i="17" s="1"/>
  <c r="C144" i="17"/>
  <c r="D144" i="17" s="1"/>
  <c r="C145" i="17"/>
  <c r="D145" i="17" s="1"/>
  <c r="C146" i="17"/>
  <c r="D146" i="17" s="1"/>
  <c r="C147" i="17"/>
  <c r="D147" i="17" s="1"/>
  <c r="C148" i="17"/>
  <c r="D148" i="17" s="1"/>
  <c r="C149" i="17"/>
  <c r="D149" i="17" s="1"/>
  <c r="C150" i="17"/>
  <c r="D150" i="17" s="1"/>
  <c r="C151" i="17"/>
  <c r="D151" i="17" s="1"/>
  <c r="C152" i="17"/>
  <c r="D152" i="17" s="1"/>
  <c r="C153" i="17"/>
  <c r="D153" i="17" s="1"/>
  <c r="C154" i="17"/>
  <c r="D154" i="17" s="1"/>
  <c r="C155" i="17"/>
  <c r="D155" i="17" s="1"/>
  <c r="C156" i="17"/>
  <c r="D156" i="17" s="1"/>
  <c r="C157" i="17"/>
  <c r="D157" i="17" s="1"/>
  <c r="C158" i="17"/>
  <c r="D158" i="17" s="1"/>
  <c r="C159" i="17"/>
  <c r="D159" i="17" s="1"/>
  <c r="C160" i="17"/>
  <c r="D160" i="17" s="1"/>
  <c r="C161" i="17"/>
  <c r="D161" i="17" s="1"/>
  <c r="C162" i="17"/>
  <c r="D162" i="17" s="1"/>
  <c r="C163" i="17"/>
  <c r="D163" i="17" s="1"/>
  <c r="C164" i="17"/>
  <c r="D164" i="17" s="1"/>
  <c r="C165" i="17"/>
  <c r="D165" i="17" s="1"/>
  <c r="C166" i="17"/>
  <c r="D166" i="17" s="1"/>
  <c r="C167" i="17"/>
  <c r="D167" i="17" s="1"/>
  <c r="C168" i="17"/>
  <c r="D168" i="17" s="1"/>
  <c r="C169" i="17"/>
  <c r="D169" i="17" s="1"/>
  <c r="C170" i="17"/>
  <c r="D170" i="17" s="1"/>
  <c r="C171" i="17"/>
  <c r="D171" i="17" s="1"/>
  <c r="C172" i="17"/>
  <c r="D172" i="17" s="1"/>
  <c r="C173" i="17"/>
  <c r="D173" i="17" s="1"/>
  <c r="C174" i="17"/>
  <c r="D174" i="17" s="1"/>
  <c r="C175" i="17"/>
  <c r="D175" i="17" s="1"/>
  <c r="C176" i="17"/>
  <c r="D176" i="17" s="1"/>
  <c r="C177" i="17"/>
  <c r="D177" i="17" s="1"/>
  <c r="C178" i="17"/>
  <c r="D178" i="17" s="1"/>
  <c r="C179" i="17"/>
  <c r="D179" i="17" s="1"/>
  <c r="C180" i="17"/>
  <c r="D180" i="17" s="1"/>
  <c r="C181" i="17"/>
  <c r="D181" i="17" s="1"/>
  <c r="C182" i="17"/>
  <c r="D182" i="17" s="1"/>
  <c r="C183" i="17"/>
  <c r="D183" i="17" s="1"/>
  <c r="C184" i="17"/>
  <c r="D184" i="17" s="1"/>
  <c r="C185" i="17"/>
  <c r="D185" i="17" s="1"/>
  <c r="C186" i="17"/>
  <c r="D186" i="17" s="1"/>
  <c r="C187" i="17"/>
  <c r="D187" i="17" s="1"/>
  <c r="C188" i="17"/>
  <c r="D188" i="17" s="1"/>
  <c r="C189" i="17"/>
  <c r="D189" i="17" s="1"/>
  <c r="C190" i="17"/>
  <c r="D190" i="17" s="1"/>
  <c r="C191" i="17"/>
  <c r="D191" i="17" s="1"/>
  <c r="C192" i="17"/>
  <c r="D192" i="17" s="1"/>
  <c r="C193" i="17"/>
  <c r="D193" i="17" s="1"/>
  <c r="C194" i="17"/>
  <c r="D194" i="17" s="1"/>
  <c r="C195" i="17"/>
  <c r="D195" i="17" s="1"/>
  <c r="C196" i="17"/>
  <c r="D196" i="17" s="1"/>
  <c r="C197" i="17"/>
  <c r="D197" i="17" s="1"/>
  <c r="C198" i="17"/>
  <c r="D198" i="17" s="1"/>
  <c r="C199" i="17"/>
  <c r="D199" i="17" s="1"/>
  <c r="C200" i="17"/>
  <c r="D200" i="17" s="1"/>
  <c r="C201" i="17"/>
  <c r="D201" i="17" s="1"/>
  <c r="C202" i="17"/>
  <c r="D202" i="17" s="1"/>
  <c r="C203" i="17"/>
  <c r="D203" i="17" s="1"/>
  <c r="C204" i="17"/>
  <c r="D204" i="17" s="1"/>
  <c r="C205" i="17"/>
  <c r="D205" i="17" s="1"/>
  <c r="C206" i="17"/>
  <c r="D206" i="17" s="1"/>
  <c r="C207" i="17"/>
  <c r="D207" i="17" s="1"/>
  <c r="C208" i="17"/>
  <c r="D208" i="17" s="1"/>
  <c r="C209" i="17"/>
  <c r="D209" i="17" s="1"/>
  <c r="C210" i="17"/>
  <c r="D210" i="17" s="1"/>
  <c r="C211" i="17"/>
  <c r="D211" i="17" s="1"/>
  <c r="C212" i="17"/>
  <c r="D212" i="17" s="1"/>
  <c r="C213" i="17"/>
  <c r="D213" i="17" s="1"/>
  <c r="C214" i="17"/>
  <c r="D214" i="17" s="1"/>
  <c r="C215" i="17"/>
  <c r="D215" i="17" s="1"/>
  <c r="C216" i="17"/>
  <c r="D216" i="17" s="1"/>
  <c r="C217" i="17"/>
  <c r="D217" i="17" s="1"/>
  <c r="C218" i="17"/>
  <c r="D218" i="17" s="1"/>
  <c r="C219" i="17"/>
  <c r="D219" i="17" s="1"/>
  <c r="C220" i="17"/>
  <c r="D220" i="17" s="1"/>
  <c r="C221" i="17"/>
  <c r="D221" i="17" s="1"/>
  <c r="C222" i="17"/>
  <c r="D222" i="17" s="1"/>
  <c r="C223" i="17"/>
  <c r="D223" i="17" s="1"/>
  <c r="C224" i="17"/>
  <c r="D224" i="17" s="1"/>
  <c r="C225" i="17"/>
  <c r="D225" i="17" s="1"/>
  <c r="C226" i="17"/>
  <c r="D226" i="17" s="1"/>
  <c r="C227" i="17"/>
  <c r="D227" i="17" s="1"/>
  <c r="C228" i="17"/>
  <c r="D228" i="17" s="1"/>
  <c r="C229" i="17"/>
  <c r="D229" i="17" s="1"/>
  <c r="C230" i="17"/>
  <c r="D230" i="17" s="1"/>
  <c r="C231" i="17"/>
  <c r="D231" i="17" s="1"/>
  <c r="C232" i="17"/>
  <c r="D232" i="17" s="1"/>
  <c r="C233" i="17"/>
  <c r="D233" i="17" s="1"/>
  <c r="C234" i="17"/>
  <c r="D234" i="17" s="1"/>
  <c r="C235" i="17"/>
  <c r="D235" i="17" s="1"/>
  <c r="C236" i="17"/>
  <c r="D236" i="17" s="1"/>
  <c r="C237" i="17"/>
  <c r="D237" i="17" s="1"/>
  <c r="C238" i="17"/>
  <c r="D238" i="17" s="1"/>
  <c r="C239" i="17"/>
  <c r="D239" i="17" s="1"/>
  <c r="C240" i="17"/>
  <c r="D240" i="17" s="1"/>
  <c r="C241" i="17"/>
  <c r="D241" i="17" s="1"/>
  <c r="C242" i="17"/>
  <c r="D242" i="17" s="1"/>
  <c r="C243" i="17"/>
  <c r="D243" i="17" s="1"/>
  <c r="C244" i="17"/>
  <c r="D244" i="17" s="1"/>
  <c r="C245" i="17"/>
  <c r="D245" i="17" s="1"/>
  <c r="C246" i="17"/>
  <c r="D246" i="17" s="1"/>
  <c r="C247" i="17"/>
  <c r="D247" i="17" s="1"/>
  <c r="C248" i="17"/>
  <c r="D248" i="17" s="1"/>
  <c r="C249" i="17"/>
  <c r="D249" i="17" s="1"/>
  <c r="C250" i="17"/>
  <c r="D250" i="17" s="1"/>
  <c r="C251" i="17"/>
  <c r="D251" i="17" s="1"/>
  <c r="C252" i="17"/>
  <c r="D252" i="17" s="1"/>
  <c r="C253" i="17"/>
  <c r="D253" i="17" s="1"/>
  <c r="C254" i="17"/>
  <c r="D254" i="17" s="1"/>
  <c r="C255" i="17"/>
  <c r="D255" i="17" s="1"/>
  <c r="C256" i="17"/>
  <c r="D256" i="17" s="1"/>
  <c r="C257" i="17"/>
  <c r="D257" i="17" s="1"/>
  <c r="C258" i="17"/>
  <c r="D258" i="17" s="1"/>
  <c r="C259" i="17"/>
  <c r="D259" i="17" s="1"/>
  <c r="C260" i="17"/>
  <c r="D260" i="17" s="1"/>
  <c r="C261" i="17"/>
  <c r="D261" i="17" s="1"/>
  <c r="C262" i="17"/>
  <c r="D262" i="17" s="1"/>
  <c r="C263" i="17"/>
  <c r="D263" i="17" s="1"/>
  <c r="C264" i="17"/>
  <c r="D264" i="17" s="1"/>
  <c r="C265" i="17"/>
  <c r="D265" i="17" s="1"/>
  <c r="C266" i="17"/>
  <c r="D266" i="17" s="1"/>
  <c r="C267" i="17"/>
  <c r="D267" i="17" s="1"/>
  <c r="C268" i="17"/>
  <c r="D268" i="17" s="1"/>
  <c r="C269" i="17"/>
  <c r="D269" i="17" s="1"/>
  <c r="C270" i="17"/>
  <c r="D270" i="17" s="1"/>
  <c r="C271" i="17"/>
  <c r="D271" i="17" s="1"/>
  <c r="C272" i="17"/>
  <c r="D272" i="17" s="1"/>
  <c r="C273" i="17"/>
  <c r="D273" i="17" s="1"/>
  <c r="C274" i="17"/>
  <c r="D274" i="17" s="1"/>
  <c r="C275" i="17"/>
  <c r="D275" i="17" s="1"/>
  <c r="C276" i="17"/>
  <c r="D276" i="17" s="1"/>
  <c r="C277" i="17"/>
  <c r="D277" i="17" s="1"/>
  <c r="C278" i="17"/>
  <c r="D278" i="17" s="1"/>
  <c r="C279" i="17"/>
  <c r="D279" i="17" s="1"/>
  <c r="C280" i="17"/>
  <c r="D280" i="17" s="1"/>
  <c r="C281" i="17"/>
  <c r="D281" i="17" s="1"/>
  <c r="C282" i="17"/>
  <c r="D282" i="17" s="1"/>
  <c r="C283" i="17"/>
  <c r="D283" i="17" s="1"/>
  <c r="C284" i="17"/>
  <c r="D284" i="17" s="1"/>
  <c r="C285" i="17"/>
  <c r="D285" i="17" s="1"/>
  <c r="C286" i="17"/>
  <c r="D286" i="17" s="1"/>
  <c r="C287" i="17"/>
  <c r="D287" i="17" s="1"/>
  <c r="C288" i="17"/>
  <c r="D288" i="17" s="1"/>
  <c r="C289" i="17"/>
  <c r="D289" i="17" s="1"/>
  <c r="C290" i="17"/>
  <c r="D290" i="17" s="1"/>
  <c r="C291" i="17"/>
  <c r="D291" i="17" s="1"/>
  <c r="C292" i="17"/>
  <c r="D292" i="17" s="1"/>
  <c r="C293" i="17"/>
  <c r="D293" i="17" s="1"/>
  <c r="C294" i="17"/>
  <c r="D294" i="17" s="1"/>
  <c r="C295" i="17"/>
  <c r="D295" i="17" s="1"/>
  <c r="C296" i="17"/>
  <c r="D296" i="17" s="1"/>
  <c r="C297" i="17"/>
  <c r="D297" i="17" s="1"/>
  <c r="C298" i="17"/>
  <c r="D298" i="17" s="1"/>
  <c r="C299" i="17"/>
  <c r="D299" i="17" s="1"/>
  <c r="C300" i="17"/>
  <c r="D300" i="17" s="1"/>
  <c r="C301" i="17"/>
  <c r="D301" i="17" s="1"/>
  <c r="C302" i="17"/>
  <c r="D302" i="17" s="1"/>
  <c r="C303" i="17"/>
  <c r="D303" i="17" s="1"/>
  <c r="C304" i="17"/>
  <c r="D304" i="17" s="1"/>
  <c r="C305" i="17"/>
  <c r="D305" i="17" s="1"/>
  <c r="C306" i="17"/>
  <c r="D306" i="17" s="1"/>
  <c r="C307" i="17"/>
  <c r="D307" i="17" s="1"/>
  <c r="C308" i="17"/>
  <c r="D308" i="17" s="1"/>
  <c r="C309" i="17"/>
  <c r="D309" i="17" s="1"/>
  <c r="C310" i="17"/>
  <c r="D310" i="17" s="1"/>
  <c r="C311" i="17"/>
  <c r="D311" i="17" s="1"/>
  <c r="C312" i="17"/>
  <c r="D312" i="17" s="1"/>
  <c r="C313" i="17"/>
  <c r="D313" i="17" s="1"/>
  <c r="C314" i="17"/>
  <c r="D314" i="17" s="1"/>
  <c r="C315" i="17"/>
  <c r="D315" i="17" s="1"/>
  <c r="C316" i="17"/>
  <c r="D316" i="17" s="1"/>
  <c r="C317" i="17"/>
  <c r="D317" i="17" s="1"/>
  <c r="C318" i="17"/>
  <c r="D318" i="17" s="1"/>
  <c r="C319" i="17"/>
  <c r="D319" i="17" s="1"/>
  <c r="C320" i="17"/>
  <c r="D320" i="17" s="1"/>
  <c r="C321" i="17"/>
  <c r="D321" i="17" s="1"/>
  <c r="C322" i="17"/>
  <c r="D322" i="17" s="1"/>
  <c r="C323" i="17"/>
  <c r="D323" i="17" s="1"/>
  <c r="C324" i="17"/>
  <c r="D324" i="17" s="1"/>
  <c r="C325" i="17"/>
  <c r="D325" i="17" s="1"/>
  <c r="C326" i="17"/>
  <c r="D326" i="17" s="1"/>
  <c r="C327" i="17"/>
  <c r="D327" i="17" s="1"/>
  <c r="C328" i="17"/>
  <c r="D328" i="17" s="1"/>
  <c r="C329" i="17"/>
  <c r="D329" i="17" s="1"/>
  <c r="C330" i="17"/>
  <c r="D330" i="17" s="1"/>
  <c r="C331" i="17"/>
  <c r="D331" i="17" s="1"/>
  <c r="C332" i="17"/>
  <c r="D332" i="17" s="1"/>
  <c r="C333" i="17"/>
  <c r="D333" i="17" s="1"/>
  <c r="C334" i="17"/>
  <c r="D334" i="17" s="1"/>
  <c r="C335" i="17"/>
  <c r="D335" i="17" s="1"/>
  <c r="C336" i="17"/>
  <c r="D336" i="17" s="1"/>
  <c r="C337" i="17"/>
  <c r="D337" i="17" s="1"/>
  <c r="C338" i="17"/>
  <c r="D338" i="17" s="1"/>
  <c r="C339" i="17"/>
  <c r="D339" i="17" s="1"/>
  <c r="C340" i="17"/>
  <c r="D340" i="17" s="1"/>
  <c r="C341" i="17"/>
  <c r="D341" i="17" s="1"/>
  <c r="C342" i="17"/>
  <c r="D342" i="17" s="1"/>
  <c r="C343" i="17"/>
  <c r="D343" i="17" s="1"/>
  <c r="C344" i="17"/>
  <c r="D344" i="17" s="1"/>
  <c r="C345" i="17"/>
  <c r="D345" i="17" s="1"/>
  <c r="C346" i="17"/>
  <c r="D346" i="17" s="1"/>
  <c r="C347" i="17"/>
  <c r="D347" i="17" s="1"/>
  <c r="C348" i="17"/>
  <c r="D348" i="17" s="1"/>
  <c r="C349" i="17"/>
  <c r="D349" i="17" s="1"/>
  <c r="C350" i="17"/>
  <c r="D350" i="17" s="1"/>
  <c r="C351" i="17"/>
  <c r="D351" i="17" s="1"/>
  <c r="C352" i="17"/>
  <c r="D352" i="17" s="1"/>
  <c r="C353" i="17"/>
  <c r="D353" i="17" s="1"/>
  <c r="C354" i="17"/>
  <c r="D354" i="17" s="1"/>
  <c r="C355" i="17"/>
  <c r="D355" i="17" s="1"/>
  <c r="C356" i="17"/>
  <c r="D356" i="17" s="1"/>
  <c r="C357" i="17"/>
  <c r="D357" i="17" s="1"/>
  <c r="C358" i="17"/>
  <c r="D358" i="17" s="1"/>
  <c r="C359" i="17"/>
  <c r="D359" i="17" s="1"/>
  <c r="C360" i="17"/>
  <c r="D360" i="17" s="1"/>
  <c r="C361" i="17"/>
  <c r="D361" i="17" s="1"/>
  <c r="C362" i="17"/>
  <c r="D362" i="17" s="1"/>
  <c r="C363" i="17"/>
  <c r="D363" i="17" s="1"/>
  <c r="C364" i="17"/>
  <c r="D364" i="17" s="1"/>
  <c r="C365" i="17"/>
  <c r="D365" i="17" s="1"/>
  <c r="C366" i="17"/>
  <c r="D366" i="17" s="1"/>
  <c r="C367" i="17"/>
  <c r="D367" i="17" s="1"/>
  <c r="C368" i="17"/>
  <c r="D368" i="17" s="1"/>
  <c r="C369" i="17"/>
  <c r="D369" i="17" s="1"/>
  <c r="C370" i="17"/>
  <c r="D370" i="17" s="1"/>
  <c r="C371" i="17"/>
  <c r="D371" i="17" s="1"/>
  <c r="C372" i="17"/>
  <c r="D372" i="17" s="1"/>
  <c r="C373" i="17"/>
  <c r="D373" i="17" s="1"/>
  <c r="C374" i="17"/>
  <c r="D374" i="17" s="1"/>
  <c r="C375" i="17"/>
  <c r="D375" i="17" s="1"/>
  <c r="C376" i="17"/>
  <c r="D376" i="17" s="1"/>
  <c r="C377" i="17"/>
  <c r="D377" i="17" s="1"/>
  <c r="C378" i="17"/>
  <c r="D378" i="17" s="1"/>
  <c r="C379" i="17"/>
  <c r="D379" i="17" s="1"/>
  <c r="C380" i="17"/>
  <c r="D380" i="17" s="1"/>
  <c r="C381" i="17"/>
  <c r="D381" i="17" s="1"/>
  <c r="C382" i="17"/>
  <c r="D382" i="17" s="1"/>
  <c r="C383" i="17"/>
  <c r="D383" i="17" s="1"/>
  <c r="C384" i="17"/>
  <c r="D384" i="17" s="1"/>
  <c r="C385" i="17"/>
  <c r="D385" i="17" s="1"/>
  <c r="C386" i="17"/>
  <c r="D386" i="17" s="1"/>
  <c r="C387" i="17"/>
  <c r="D387" i="17" s="1"/>
  <c r="C388" i="17"/>
  <c r="D388" i="17" s="1"/>
  <c r="C389" i="17"/>
  <c r="D389" i="17" s="1"/>
  <c r="C390" i="17"/>
  <c r="D390" i="17" s="1"/>
  <c r="C391" i="17"/>
  <c r="D391" i="17" s="1"/>
  <c r="C392" i="17"/>
  <c r="D392" i="17" s="1"/>
  <c r="C393" i="17"/>
  <c r="D393" i="17" s="1"/>
  <c r="C394" i="17"/>
  <c r="D394" i="17" s="1"/>
  <c r="C395" i="17"/>
  <c r="D395" i="17" s="1"/>
  <c r="C396" i="17"/>
  <c r="D396" i="17" s="1"/>
  <c r="C397" i="17"/>
  <c r="D397" i="17" s="1"/>
  <c r="C398" i="17"/>
  <c r="D398" i="17" s="1"/>
  <c r="C399" i="17"/>
  <c r="D399" i="17" s="1"/>
  <c r="C400" i="17"/>
  <c r="D400" i="17" s="1"/>
  <c r="C401" i="17"/>
  <c r="D401" i="17" s="1"/>
  <c r="C402" i="17"/>
  <c r="D402" i="17" s="1"/>
  <c r="C403" i="17"/>
  <c r="D403" i="17" s="1"/>
  <c r="C404" i="17"/>
  <c r="D404" i="17" s="1"/>
  <c r="C405" i="17"/>
  <c r="D405" i="17" s="1"/>
  <c r="C406" i="17"/>
  <c r="D406" i="17" s="1"/>
  <c r="C407" i="17"/>
  <c r="D407" i="17" s="1"/>
  <c r="C408" i="17"/>
  <c r="D408" i="17" s="1"/>
  <c r="C409" i="17"/>
  <c r="D409" i="17" s="1"/>
  <c r="C410" i="17"/>
  <c r="D410" i="17" s="1"/>
  <c r="C411" i="17"/>
  <c r="D411" i="17" s="1"/>
  <c r="C412" i="17"/>
  <c r="D412" i="17" s="1"/>
  <c r="C413" i="17"/>
  <c r="D413" i="17" s="1"/>
  <c r="C414" i="17"/>
  <c r="D414" i="17" s="1"/>
  <c r="C415" i="17"/>
  <c r="D415" i="17" s="1"/>
  <c r="C416" i="17"/>
  <c r="D416" i="17" s="1"/>
  <c r="C417" i="17"/>
  <c r="D417" i="17" s="1"/>
  <c r="C418" i="17"/>
  <c r="D418" i="17" s="1"/>
  <c r="C419" i="17"/>
  <c r="D419" i="17" s="1"/>
  <c r="C420" i="17"/>
  <c r="D420" i="17" s="1"/>
  <c r="C421" i="17"/>
  <c r="D421" i="17" s="1"/>
  <c r="C422" i="17"/>
  <c r="D422" i="17" s="1"/>
  <c r="C423" i="17"/>
  <c r="D423" i="17" s="1"/>
  <c r="C424" i="17"/>
  <c r="D424" i="17" s="1"/>
  <c r="C425" i="17"/>
  <c r="D425" i="17" s="1"/>
  <c r="C426" i="17"/>
  <c r="D426" i="17" s="1"/>
  <c r="C427" i="17"/>
  <c r="D427" i="17" s="1"/>
  <c r="C428" i="17"/>
  <c r="D428" i="17" s="1"/>
  <c r="C429" i="17"/>
  <c r="D429" i="17" s="1"/>
  <c r="C430" i="17"/>
  <c r="D430" i="17" s="1"/>
  <c r="C431" i="17"/>
  <c r="D431" i="17" s="1"/>
  <c r="C432" i="17"/>
  <c r="D432" i="17" s="1"/>
  <c r="C433" i="17"/>
  <c r="D433" i="17" s="1"/>
  <c r="C434" i="17"/>
  <c r="D434" i="17" s="1"/>
  <c r="C435" i="17"/>
  <c r="D435" i="17" s="1"/>
  <c r="C436" i="17"/>
  <c r="D436" i="17" s="1"/>
  <c r="C437" i="17"/>
  <c r="D437" i="17" s="1"/>
  <c r="C438" i="17"/>
  <c r="D438" i="17" s="1"/>
  <c r="C439" i="17"/>
  <c r="D439" i="17" s="1"/>
  <c r="C440" i="17"/>
  <c r="D440" i="17" s="1"/>
  <c r="C441" i="17"/>
  <c r="D441" i="17" s="1"/>
  <c r="C442" i="17"/>
  <c r="D442" i="17" s="1"/>
  <c r="C443" i="17"/>
  <c r="D443" i="17" s="1"/>
  <c r="C444" i="17"/>
  <c r="D444" i="17" s="1"/>
  <c r="C445" i="17"/>
  <c r="D445" i="17" s="1"/>
  <c r="C446" i="17"/>
  <c r="D446" i="17" s="1"/>
  <c r="C447" i="17"/>
  <c r="D447" i="17" s="1"/>
  <c r="C448" i="17"/>
  <c r="D448" i="17" s="1"/>
  <c r="C449" i="17"/>
  <c r="D449" i="17" s="1"/>
  <c r="C450" i="17"/>
  <c r="D450" i="17" s="1"/>
  <c r="C451" i="17"/>
  <c r="D451" i="17" s="1"/>
  <c r="C452" i="17"/>
  <c r="D452" i="17" s="1"/>
  <c r="C453" i="17"/>
  <c r="D453" i="17" s="1"/>
  <c r="C454" i="17"/>
  <c r="D454" i="17" s="1"/>
  <c r="C455" i="17"/>
  <c r="D455" i="17" s="1"/>
  <c r="C456" i="17"/>
  <c r="D456" i="17" s="1"/>
  <c r="C457" i="17"/>
  <c r="D457" i="17" s="1"/>
  <c r="C458" i="17"/>
  <c r="D458" i="17" s="1"/>
  <c r="C459" i="17"/>
  <c r="D459" i="17" s="1"/>
  <c r="C460" i="17"/>
  <c r="D460" i="17" s="1"/>
  <c r="C461" i="17"/>
  <c r="D461" i="17" s="1"/>
  <c r="C462" i="17"/>
  <c r="D462" i="17" s="1"/>
  <c r="C463" i="17"/>
  <c r="D463" i="17" s="1"/>
  <c r="C464" i="17"/>
  <c r="D464" i="17" s="1"/>
  <c r="C465" i="17"/>
  <c r="D465" i="17" s="1"/>
  <c r="C466" i="17"/>
  <c r="D466" i="17" s="1"/>
  <c r="C467" i="17"/>
  <c r="D467" i="17" s="1"/>
  <c r="C468" i="17"/>
  <c r="D468" i="17" s="1"/>
  <c r="C469" i="17"/>
  <c r="D469" i="17" s="1"/>
  <c r="C470" i="17"/>
  <c r="D470" i="17" s="1"/>
  <c r="C471" i="17"/>
  <c r="D471" i="17" s="1"/>
  <c r="C472" i="17"/>
  <c r="D472" i="17" s="1"/>
  <c r="C473" i="17"/>
  <c r="D473" i="17" s="1"/>
  <c r="C474" i="17"/>
  <c r="D474" i="17" s="1"/>
  <c r="C475" i="17"/>
  <c r="D475" i="17" s="1"/>
  <c r="C476" i="17"/>
  <c r="D476" i="17" s="1"/>
  <c r="C477" i="17"/>
  <c r="D477" i="17" s="1"/>
  <c r="C478" i="17"/>
  <c r="D478" i="17" s="1"/>
  <c r="C479" i="17"/>
  <c r="D479" i="17" s="1"/>
  <c r="C480" i="17"/>
  <c r="D480" i="17" s="1"/>
  <c r="C481" i="17"/>
  <c r="D481" i="17" s="1"/>
  <c r="C482" i="17"/>
  <c r="D482" i="17" s="1"/>
  <c r="C483" i="17"/>
  <c r="D483" i="17" s="1"/>
  <c r="C484" i="17"/>
  <c r="D484" i="17" s="1"/>
  <c r="C485" i="17"/>
  <c r="D485" i="17" s="1"/>
  <c r="C486" i="17"/>
  <c r="D486" i="17" s="1"/>
  <c r="C487" i="17"/>
  <c r="D487" i="17" s="1"/>
  <c r="C488" i="17"/>
  <c r="D488" i="17" s="1"/>
  <c r="C489" i="17"/>
  <c r="D489" i="17" s="1"/>
  <c r="C490" i="17"/>
  <c r="D490" i="17" s="1"/>
  <c r="C491" i="17"/>
  <c r="D491" i="17" s="1"/>
  <c r="C492" i="17"/>
  <c r="D492" i="17" s="1"/>
  <c r="C493" i="17"/>
  <c r="D493" i="17" s="1"/>
  <c r="C494" i="17"/>
  <c r="D494" i="17" s="1"/>
  <c r="C495" i="17"/>
  <c r="D495" i="17" s="1"/>
  <c r="C496" i="17"/>
  <c r="D496" i="17" s="1"/>
  <c r="C497" i="17"/>
  <c r="D497" i="17" s="1"/>
  <c r="C498" i="17"/>
  <c r="D498" i="17" s="1"/>
  <c r="C499" i="17"/>
  <c r="D499" i="17" s="1"/>
  <c r="C500" i="17"/>
  <c r="D500" i="17" s="1"/>
  <c r="C501" i="17"/>
  <c r="D501" i="17" s="1"/>
  <c r="C502" i="17"/>
  <c r="D502" i="17" s="1"/>
  <c r="C503" i="17"/>
  <c r="D503" i="17" s="1"/>
  <c r="C504" i="17"/>
  <c r="D504" i="17" s="1"/>
  <c r="C505" i="17"/>
  <c r="D505" i="17" s="1"/>
  <c r="C506" i="17"/>
  <c r="D506" i="17" s="1"/>
  <c r="C507" i="17"/>
  <c r="D507" i="17" s="1"/>
  <c r="C508" i="17"/>
  <c r="D508" i="17" s="1"/>
  <c r="C509" i="17"/>
  <c r="D509" i="17" s="1"/>
  <c r="C510" i="17"/>
  <c r="D510" i="17" s="1"/>
  <c r="C511" i="17"/>
  <c r="D511" i="17" s="1"/>
  <c r="C512" i="17"/>
  <c r="D512" i="17" s="1"/>
  <c r="C513" i="17"/>
  <c r="D513" i="17" s="1"/>
  <c r="C514" i="17"/>
  <c r="D514" i="17" s="1"/>
  <c r="C515" i="17"/>
  <c r="D515" i="17" s="1"/>
  <c r="C516" i="17"/>
  <c r="D516" i="17" s="1"/>
  <c r="C517" i="17"/>
  <c r="D517" i="17" s="1"/>
  <c r="C518" i="17"/>
  <c r="D518" i="17" s="1"/>
  <c r="C19" i="17"/>
  <c r="D19" i="17" s="1"/>
  <c r="R5" i="20"/>
  <c r="Q5" i="20"/>
  <c r="P5" i="20"/>
  <c r="O5" i="20"/>
  <c r="N5" i="20"/>
  <c r="M5" i="20"/>
  <c r="R4" i="20"/>
  <c r="Q4" i="20"/>
  <c r="P4" i="20"/>
  <c r="O4" i="20"/>
  <c r="N4" i="20"/>
  <c r="M4" i="20"/>
  <c r="R3" i="20"/>
  <c r="Q3" i="20"/>
  <c r="P3" i="20"/>
  <c r="O3" i="20"/>
  <c r="N3" i="20"/>
  <c r="M3" i="20"/>
  <c r="I394" i="22" l="1"/>
  <c r="J394" i="22" s="1"/>
  <c r="K394" i="22" s="1"/>
  <c r="I360" i="22"/>
  <c r="J360" i="22" s="1"/>
  <c r="K360" i="22" s="1"/>
  <c r="I428" i="22"/>
  <c r="J428" i="22" s="1"/>
  <c r="K428" i="22" s="1"/>
  <c r="K143" i="22"/>
  <c r="J133" i="22"/>
  <c r="K27" i="22"/>
  <c r="J18" i="22"/>
  <c r="J352" i="22"/>
  <c r="K352" i="22" s="1"/>
  <c r="J263" i="22"/>
  <c r="K501" i="22"/>
  <c r="J492" i="22"/>
  <c r="C13" i="17"/>
  <c r="C12" i="17"/>
  <c r="B14" i="17"/>
  <c r="C14" i="17" s="1"/>
  <c r="B13" i="17"/>
  <c r="B12" i="17"/>
  <c r="C11" i="17"/>
  <c r="B6" i="17"/>
  <c r="C5" i="17"/>
  <c r="I429" i="22" l="1"/>
  <c r="J429" i="22" s="1"/>
  <c r="K429" i="22" s="1"/>
  <c r="I361" i="22"/>
  <c r="J361" i="22" s="1"/>
  <c r="K361" i="22" s="1"/>
  <c r="I395" i="22"/>
  <c r="J395" i="22" s="1"/>
  <c r="K395" i="22" s="1"/>
  <c r="K133" i="22"/>
  <c r="J123" i="22"/>
  <c r="K123" i="22" s="1"/>
  <c r="K492" i="22"/>
  <c r="J483" i="22"/>
  <c r="K483" i="22" s="1"/>
  <c r="K18" i="22"/>
  <c r="J9" i="22"/>
  <c r="K9" i="22" s="1"/>
  <c r="K263" i="22"/>
  <c r="J246" i="22"/>
  <c r="I312" i="9"/>
  <c r="I311" i="9"/>
  <c r="K311" i="9"/>
  <c r="I301" i="9"/>
  <c r="I304" i="9" s="1"/>
  <c r="K304" i="9" s="1"/>
  <c r="I300" i="9"/>
  <c r="I303" i="9" s="1"/>
  <c r="K303" i="9" s="1"/>
  <c r="K291" i="9"/>
  <c r="K290" i="9"/>
  <c r="K289" i="9"/>
  <c r="K280" i="9"/>
  <c r="K279" i="9"/>
  <c r="K278" i="9"/>
  <c r="K269" i="9"/>
  <c r="K268" i="9"/>
  <c r="K267" i="9"/>
  <c r="J304" i="9"/>
  <c r="J303" i="9"/>
  <c r="K302" i="9"/>
  <c r="J293" i="9"/>
  <c r="I293" i="9"/>
  <c r="K293" i="9" s="1"/>
  <c r="J292" i="9"/>
  <c r="I292" i="9"/>
  <c r="K292" i="9" s="1"/>
  <c r="J282" i="9"/>
  <c r="I282" i="9"/>
  <c r="J281" i="9"/>
  <c r="I281" i="9"/>
  <c r="K281" i="9" s="1"/>
  <c r="J271" i="9"/>
  <c r="I271" i="9"/>
  <c r="K271" i="9" s="1"/>
  <c r="J270" i="9"/>
  <c r="I270" i="9"/>
  <c r="K270" i="9" s="1"/>
  <c r="J315" i="9"/>
  <c r="I315" i="9"/>
  <c r="K315" i="9" s="1"/>
  <c r="J314" i="9"/>
  <c r="K313" i="9"/>
  <c r="K312" i="9"/>
  <c r="K246" i="22" l="1"/>
  <c r="J220" i="22"/>
  <c r="K301" i="9"/>
  <c r="I314" i="9"/>
  <c r="K314" i="9" s="1"/>
  <c r="K300" i="9"/>
  <c r="AM258" i="9"/>
  <c r="AM256" i="9"/>
  <c r="AM255" i="9"/>
  <c r="W260" i="9"/>
  <c r="Y260" i="9" s="1"/>
  <c r="W259" i="9"/>
  <c r="Y259" i="9" s="1"/>
  <c r="W258" i="9"/>
  <c r="Y258" i="9" s="1"/>
  <c r="W257" i="9"/>
  <c r="Y257" i="9" s="1"/>
  <c r="Y255" i="9"/>
  <c r="Y246" i="9"/>
  <c r="Y245" i="9"/>
  <c r="W244" i="9"/>
  <c r="Y244" i="9" s="1"/>
  <c r="Y243" i="9"/>
  <c r="W242" i="9"/>
  <c r="Y242" i="9" s="1"/>
  <c r="Y240" i="9"/>
  <c r="D7" i="14"/>
  <c r="D8" i="14" s="1"/>
  <c r="F7" i="2"/>
  <c r="K220" i="22" l="1"/>
  <c r="J186" i="22"/>
  <c r="I206" i="9"/>
  <c r="K186" i="22" l="1"/>
  <c r="J169" i="22"/>
  <c r="R246" i="9"/>
  <c r="R245" i="9"/>
  <c r="R244" i="9"/>
  <c r="R243" i="9"/>
  <c r="P242" i="9"/>
  <c r="P244" i="9"/>
  <c r="K169" i="22" l="1"/>
  <c r="J152" i="22"/>
  <c r="K152" i="22" s="1"/>
  <c r="I217" i="9"/>
  <c r="K217" i="9" s="1"/>
  <c r="I216" i="9"/>
  <c r="K216" i="9" s="1"/>
  <c r="K203" i="9"/>
  <c r="K204" i="9"/>
  <c r="P260" i="9"/>
  <c r="P259" i="9"/>
  <c r="R259" i="9" s="1"/>
  <c r="P258" i="9"/>
  <c r="R258" i="9" s="1"/>
  <c r="P257" i="9"/>
  <c r="R257" i="9" s="1"/>
  <c r="I231" i="9"/>
  <c r="K231" i="9" s="1"/>
  <c r="I229" i="9"/>
  <c r="K229" i="9" s="1"/>
  <c r="I230" i="9"/>
  <c r="K230" i="9" s="1"/>
  <c r="K219" i="9"/>
  <c r="K218" i="9"/>
  <c r="K214" i="9"/>
  <c r="K206" i="9"/>
  <c r="K205" i="9"/>
  <c r="K201" i="9"/>
  <c r="R242" i="9"/>
  <c r="R240" i="9"/>
  <c r="K227" i="9"/>
  <c r="R260" i="9"/>
  <c r="R255" i="9"/>
  <c r="O33" i="15"/>
  <c r="O34" i="15"/>
  <c r="O35" i="15"/>
  <c r="O36" i="15"/>
  <c r="L19" i="15"/>
  <c r="L20" i="15"/>
  <c r="L23" i="15"/>
  <c r="K19" i="15"/>
  <c r="K20" i="15"/>
  <c r="K21" i="15"/>
  <c r="L21" i="15" s="1"/>
  <c r="K22" i="15"/>
  <c r="L22" i="15" s="1"/>
  <c r="K23" i="15"/>
  <c r="K24" i="15"/>
  <c r="L24" i="15" s="1"/>
  <c r="K25" i="15"/>
  <c r="L25" i="15" s="1"/>
  <c r="I232" i="9" l="1"/>
  <c r="K232" i="9" s="1"/>
  <c r="D8" i="13"/>
  <c r="D6" i="13"/>
  <c r="D13" i="13"/>
  <c r="D14" i="13"/>
  <c r="D15" i="13"/>
  <c r="D11" i="13"/>
  <c r="D12" i="13"/>
  <c r="D4" i="13"/>
  <c r="D5" i="13"/>
  <c r="D7" i="13"/>
  <c r="D9" i="13"/>
  <c r="D10" i="13"/>
  <c r="D3" i="13"/>
  <c r="D15" i="14"/>
  <c r="D14" i="14"/>
  <c r="B7" i="13"/>
  <c r="G14" i="14" l="1"/>
  <c r="G15" i="14" s="1"/>
  <c r="Q10" i="12"/>
  <c r="D23" i="12"/>
  <c r="J19" i="12"/>
  <c r="J21" i="12" s="1"/>
  <c r="J22" i="12" s="1"/>
  <c r="D6" i="12"/>
  <c r="D7" i="12" s="1"/>
  <c r="J5" i="12"/>
  <c r="J6" i="12" s="1"/>
  <c r="Q194" i="9" l="1"/>
  <c r="P194" i="9"/>
  <c r="R194" i="9" s="1"/>
  <c r="Q193" i="9"/>
  <c r="P193" i="9"/>
  <c r="R193" i="9" s="1"/>
  <c r="R192" i="9"/>
  <c r="R191" i="9"/>
  <c r="R190" i="9"/>
  <c r="Q183" i="9"/>
  <c r="P183" i="9"/>
  <c r="Q182" i="9"/>
  <c r="P182" i="9"/>
  <c r="R182" i="9" s="1"/>
  <c r="R181" i="9"/>
  <c r="R179" i="9"/>
  <c r="Q127" i="9"/>
  <c r="P127" i="9"/>
  <c r="Q126" i="9"/>
  <c r="P126" i="9"/>
  <c r="R126" i="9" s="1"/>
  <c r="R125" i="9"/>
  <c r="R123" i="9"/>
  <c r="Q116" i="9"/>
  <c r="P116" i="9"/>
  <c r="Q115" i="9"/>
  <c r="P115" i="9"/>
  <c r="R115" i="9" s="1"/>
  <c r="R114" i="9"/>
  <c r="R112" i="9"/>
  <c r="Q105" i="9"/>
  <c r="P105" i="9"/>
  <c r="Q104" i="9"/>
  <c r="P104" i="9"/>
  <c r="R104" i="9" s="1"/>
  <c r="R103" i="9"/>
  <c r="R101" i="9"/>
  <c r="Q94" i="9"/>
  <c r="P94" i="9"/>
  <c r="Q93" i="9"/>
  <c r="P93" i="9"/>
  <c r="R93" i="9" s="1"/>
  <c r="R92" i="9"/>
  <c r="R90" i="9"/>
  <c r="Q83" i="9"/>
  <c r="P83" i="9"/>
  <c r="Q82" i="9"/>
  <c r="P82" i="9"/>
  <c r="R82" i="9" s="1"/>
  <c r="R81" i="9"/>
  <c r="R79" i="9"/>
  <c r="Q72" i="9"/>
  <c r="P72" i="9"/>
  <c r="Q71" i="9"/>
  <c r="P71" i="9"/>
  <c r="R71" i="9" s="1"/>
  <c r="R70" i="9"/>
  <c r="R68" i="9"/>
  <c r="AL183" i="9"/>
  <c r="AK183" i="9"/>
  <c r="AL182" i="9"/>
  <c r="AK182" i="9"/>
  <c r="AM182" i="9" s="1"/>
  <c r="AM181" i="9"/>
  <c r="AM179" i="9"/>
  <c r="AE183" i="9"/>
  <c r="AD183" i="9"/>
  <c r="AE182" i="9"/>
  <c r="AD182" i="9"/>
  <c r="AF182" i="9" s="1"/>
  <c r="AF181" i="9"/>
  <c r="AF179" i="9"/>
  <c r="X194" i="9"/>
  <c r="W194" i="9"/>
  <c r="X193" i="9"/>
  <c r="W193" i="9"/>
  <c r="Y193" i="9" s="1"/>
  <c r="Y192" i="9"/>
  <c r="Y190" i="9"/>
  <c r="X183" i="9"/>
  <c r="W183" i="9"/>
  <c r="X182" i="9"/>
  <c r="W182" i="9"/>
  <c r="Y182" i="9" s="1"/>
  <c r="Y181" i="9"/>
  <c r="Y179" i="9"/>
  <c r="X172" i="9"/>
  <c r="W172" i="9"/>
  <c r="X171" i="9"/>
  <c r="W171" i="9"/>
  <c r="Y171" i="9" s="1"/>
  <c r="Y170" i="9"/>
  <c r="Y168" i="9"/>
  <c r="X161" i="9"/>
  <c r="W161" i="9"/>
  <c r="X160" i="9"/>
  <c r="W160" i="9"/>
  <c r="Y160" i="9" s="1"/>
  <c r="Y159" i="9"/>
  <c r="Y157" i="9"/>
  <c r="J150" i="9"/>
  <c r="I150" i="9"/>
  <c r="J149" i="9"/>
  <c r="I149" i="9"/>
  <c r="K149" i="9" s="1"/>
  <c r="K148" i="9"/>
  <c r="K146" i="9"/>
  <c r="J139" i="9"/>
  <c r="I139" i="9"/>
  <c r="K139" i="9" s="1"/>
  <c r="J138" i="9"/>
  <c r="I138" i="9"/>
  <c r="K138" i="9" s="1"/>
  <c r="K137" i="9"/>
  <c r="K136" i="9"/>
  <c r="K134" i="9"/>
  <c r="J172" i="9"/>
  <c r="I172" i="9"/>
  <c r="J171" i="9"/>
  <c r="I171" i="9"/>
  <c r="K171" i="9" s="1"/>
  <c r="K170" i="9"/>
  <c r="K168" i="9"/>
  <c r="J161" i="9"/>
  <c r="I161" i="9"/>
  <c r="J160" i="9"/>
  <c r="I160" i="9"/>
  <c r="K160" i="9" s="1"/>
  <c r="K159" i="9"/>
  <c r="K157" i="9"/>
  <c r="X61" i="9" l="1"/>
  <c r="W61" i="9"/>
  <c r="X60" i="9"/>
  <c r="W60" i="9"/>
  <c r="Y60" i="9" s="1"/>
  <c r="Y59" i="9"/>
  <c r="Y57" i="9"/>
  <c r="K59" i="9"/>
  <c r="K57" i="9"/>
  <c r="K48" i="9"/>
  <c r="K46" i="9"/>
  <c r="AM112" i="9" l="1"/>
  <c r="AM92" i="9"/>
  <c r="AM90" i="9"/>
  <c r="AM81" i="9"/>
  <c r="AM79" i="9"/>
  <c r="AF81" i="9"/>
  <c r="AF80" i="9"/>
  <c r="AF79" i="9"/>
  <c r="Y125" i="9"/>
  <c r="Y124" i="9"/>
  <c r="Y123" i="9"/>
  <c r="Y114" i="9"/>
  <c r="Y112" i="9"/>
  <c r="Y103" i="9"/>
  <c r="Y101" i="9"/>
  <c r="Y92" i="9"/>
  <c r="Y90" i="9"/>
  <c r="Y81" i="9"/>
  <c r="Y79" i="9"/>
  <c r="Y70" i="9"/>
  <c r="Y69" i="9"/>
  <c r="Y68" i="9"/>
  <c r="K103" i="9"/>
  <c r="K101" i="9"/>
  <c r="K70" i="9"/>
  <c r="K68" i="9"/>
  <c r="K35" i="9"/>
  <c r="K23" i="9"/>
  <c r="K37" i="9"/>
  <c r="K26" i="9"/>
  <c r="K16" i="9"/>
  <c r="K15" i="9"/>
  <c r="K8" i="9"/>
  <c r="K7" i="9"/>
  <c r="AL116" i="9"/>
  <c r="AK116" i="9"/>
  <c r="AL115" i="9"/>
  <c r="AK115" i="9"/>
  <c r="AM115" i="9" s="1"/>
  <c r="AL94" i="9"/>
  <c r="AK94" i="9"/>
  <c r="AL93" i="9"/>
  <c r="AK93" i="9"/>
  <c r="AM93" i="9" s="1"/>
  <c r="AL83" i="9"/>
  <c r="AK83" i="9"/>
  <c r="AL82" i="9"/>
  <c r="AK82" i="9"/>
  <c r="AM82" i="9" s="1"/>
  <c r="AE83" i="9"/>
  <c r="AD83" i="9"/>
  <c r="AF83" i="9" s="1"/>
  <c r="AE82" i="9"/>
  <c r="AD82" i="9"/>
  <c r="AF82" i="9" s="1"/>
  <c r="J105" i="9"/>
  <c r="I105" i="9"/>
  <c r="J104" i="9"/>
  <c r="I104" i="9"/>
  <c r="K104" i="9" s="1"/>
  <c r="J50" i="9"/>
  <c r="I50" i="9"/>
  <c r="K50" i="9" s="1"/>
  <c r="J49" i="9"/>
  <c r="I49" i="9"/>
  <c r="K49" i="9" s="1"/>
  <c r="X127" i="9"/>
  <c r="W127" i="9"/>
  <c r="Y127" i="9" s="1"/>
  <c r="X126" i="9"/>
  <c r="W126" i="9"/>
  <c r="Y126" i="9" s="1"/>
  <c r="X116" i="9"/>
  <c r="W116" i="9"/>
  <c r="X115" i="9"/>
  <c r="W115" i="9"/>
  <c r="Y115" i="9" s="1"/>
  <c r="X105" i="9"/>
  <c r="W105" i="9"/>
  <c r="X104" i="9"/>
  <c r="W104" i="9"/>
  <c r="Y104" i="9" s="1"/>
  <c r="X94" i="9"/>
  <c r="W94" i="9"/>
  <c r="X93" i="9"/>
  <c r="W93" i="9"/>
  <c r="Y93" i="9" s="1"/>
  <c r="X83" i="9"/>
  <c r="W83" i="9"/>
  <c r="X82" i="9"/>
  <c r="W82" i="9"/>
  <c r="Y82" i="9" s="1"/>
  <c r="X72" i="9"/>
  <c r="W72" i="9"/>
  <c r="Y72" i="9" s="1"/>
  <c r="X71" i="9"/>
  <c r="W71" i="9"/>
  <c r="Y71" i="9" s="1"/>
  <c r="J72" i="9"/>
  <c r="I72" i="9"/>
  <c r="J71" i="9"/>
  <c r="I71" i="9"/>
  <c r="K71" i="9" s="1"/>
  <c r="J61" i="9"/>
  <c r="I61" i="9"/>
  <c r="J60" i="9"/>
  <c r="I60" i="9"/>
  <c r="K60" i="9" s="1"/>
  <c r="J39" i="9"/>
  <c r="I39" i="9"/>
  <c r="J28" i="9"/>
  <c r="J27" i="9"/>
  <c r="I28" i="9"/>
  <c r="I27" i="9"/>
  <c r="K27" i="9" s="1"/>
  <c r="J38" i="9"/>
  <c r="I38" i="9"/>
  <c r="K38" i="9" s="1"/>
  <c r="K25" i="9"/>
  <c r="G21" i="3"/>
  <c r="F21" i="3"/>
  <c r="C21" i="3"/>
  <c r="E14" i="3"/>
  <c r="E21" i="3" s="1"/>
  <c r="E15" i="3"/>
  <c r="E22" i="3" s="1"/>
  <c r="E27" i="3" s="1"/>
  <c r="G15" i="2"/>
  <c r="F8" i="2"/>
  <c r="F15" i="2"/>
  <c r="D21" i="3"/>
  <c r="G37" i="1"/>
  <c r="G36" i="1"/>
  <c r="G35" i="1"/>
  <c r="G34" i="1"/>
  <c r="G33" i="1"/>
  <c r="D20" i="1"/>
  <c r="F20" i="1" s="1"/>
  <c r="G20" i="1" s="1"/>
  <c r="D19" i="1"/>
  <c r="F19" i="1" s="1"/>
  <c r="G19" i="1" s="1"/>
  <c r="D18" i="1"/>
  <c r="F18" i="1" s="1"/>
  <c r="G18" i="1" s="1"/>
  <c r="D17" i="1"/>
  <c r="F17" i="1"/>
  <c r="G17" i="1" s="1"/>
  <c r="D16" i="1"/>
  <c r="F16" i="1" s="1"/>
  <c r="G16" i="1" s="1"/>
  <c r="K282" i="9" l="1"/>
  <c r="Y256" i="9"/>
  <c r="Y241" i="9"/>
  <c r="F16" i="2"/>
  <c r="K215" i="9"/>
  <c r="R241" i="9"/>
  <c r="K202" i="9"/>
  <c r="K228" i="9"/>
  <c r="R256" i="9"/>
  <c r="E15" i="14"/>
  <c r="E8" i="14"/>
  <c r="D8" i="3"/>
  <c r="C8" i="2"/>
  <c r="D15" i="3"/>
  <c r="D22" i="3" s="1"/>
  <c r="D27" i="3" s="1"/>
  <c r="C16" i="2"/>
  <c r="F15" i="14"/>
  <c r="F8" i="14"/>
  <c r="C8" i="14"/>
  <c r="C15" i="14"/>
  <c r="D8" i="2"/>
  <c r="D16" i="2"/>
  <c r="C15" i="3"/>
  <c r="C22" i="3" s="1"/>
  <c r="C27" i="3" s="1"/>
  <c r="C8" i="3"/>
  <c r="E16" i="2"/>
  <c r="G15" i="3"/>
  <c r="G22" i="3" s="1"/>
  <c r="G27" i="3" s="1"/>
  <c r="E8" i="2"/>
  <c r="G8" i="3"/>
  <c r="F15" i="3"/>
  <c r="F22" i="3" s="1"/>
  <c r="F27" i="3" s="1"/>
  <c r="F8" i="3"/>
  <c r="G16" i="2"/>
  <c r="H14" i="3"/>
  <c r="H21" i="3" s="1"/>
  <c r="R113" i="9"/>
  <c r="R80" i="9"/>
  <c r="R124" i="9"/>
  <c r="R69" i="9"/>
  <c r="R180" i="9"/>
  <c r="R102" i="9"/>
  <c r="R91" i="9"/>
  <c r="R116" i="9"/>
  <c r="R105" i="9"/>
  <c r="R72" i="9"/>
  <c r="R83" i="9"/>
  <c r="R183" i="9"/>
  <c r="R94" i="9"/>
  <c r="R127" i="9"/>
  <c r="Y158" i="9"/>
  <c r="Y191" i="9"/>
  <c r="AM180" i="9"/>
  <c r="Y169" i="9"/>
  <c r="Y180" i="9"/>
  <c r="AF180" i="9"/>
  <c r="Y183" i="9"/>
  <c r="AF183" i="9"/>
  <c r="Y172" i="9"/>
  <c r="AM183" i="9"/>
  <c r="Y194" i="9"/>
  <c r="Y161" i="9"/>
  <c r="K135" i="9"/>
  <c r="K169" i="9"/>
  <c r="K147" i="9"/>
  <c r="K172" i="9"/>
  <c r="K150" i="9"/>
  <c r="K158" i="9"/>
  <c r="K161" i="9"/>
  <c r="K58" i="9"/>
  <c r="Y58" i="9"/>
  <c r="K47" i="9"/>
  <c r="Y61" i="9"/>
  <c r="K24" i="9"/>
  <c r="Y91" i="9"/>
  <c r="K39" i="9"/>
  <c r="K72" i="9"/>
  <c r="Y105" i="9"/>
  <c r="AM83" i="9"/>
  <c r="AM116" i="9"/>
  <c r="K102" i="9"/>
  <c r="Y80" i="9"/>
  <c r="AM113" i="9"/>
  <c r="Y94" i="9"/>
  <c r="AM94" i="9"/>
  <c r="K36" i="9"/>
  <c r="Y113" i="9"/>
  <c r="AM91" i="9"/>
  <c r="K61" i="9"/>
  <c r="Y83" i="9"/>
  <c r="Y116" i="9"/>
  <c r="K105" i="9"/>
  <c r="Y102" i="9"/>
  <c r="AM80" i="9"/>
  <c r="K28" i="9"/>
  <c r="H15" i="3" l="1"/>
  <c r="H22" i="3" s="1"/>
  <c r="H27" i="3" s="1"/>
  <c r="C23" i="2"/>
  <c r="E23" i="2"/>
  <c r="D23" i="2"/>
  <c r="D24" i="2"/>
  <c r="G23" i="2"/>
  <c r="G30" i="2" s="1"/>
  <c r="E24" i="2"/>
  <c r="E30" i="2" s="1"/>
  <c r="F23" i="2"/>
  <c r="F24" i="2" s="1"/>
  <c r="F30" i="2" s="1"/>
  <c r="C24" i="2"/>
  <c r="C30" i="2" s="1"/>
  <c r="D30" i="2" l="1"/>
  <c r="G24" i="2"/>
  <c r="E21" i="14"/>
  <c r="C21" i="14"/>
  <c r="F21" i="14"/>
  <c r="D21" i="14"/>
  <c r="G21" i="14"/>
  <c r="F22" i="14"/>
  <c r="F27" i="14" s="1"/>
  <c r="G22" i="14"/>
  <c r="G27" i="14" s="1"/>
  <c r="E22" i="14"/>
  <c r="E27" i="14" s="1"/>
  <c r="C22" i="14"/>
  <c r="C27" i="14" s="1"/>
  <c r="D22" i="14"/>
  <c r="D27" i="14" s="1"/>
  <c r="J663" i="22"/>
  <c r="K663" i="22" s="1"/>
  <c r="J69" i="22"/>
  <c r="K69" i="22" s="1"/>
  <c r="I83" i="22" s="1"/>
  <c r="J83" i="22" s="1"/>
  <c r="K83" i="22" s="1"/>
  <c r="J333" i="22"/>
  <c r="K333" i="22" s="1"/>
  <c r="I343" i="22" s="1"/>
  <c r="J343" i="22" s="1"/>
  <c r="K343" i="22" s="1"/>
  <c r="J661" i="22"/>
  <c r="K661" i="22" s="1"/>
  <c r="K662" i="22" s="1"/>
  <c r="O663" i="22"/>
  <c r="P663" i="22" s="1"/>
  <c r="T663" i="22"/>
  <c r="U663" i="22" s="1"/>
  <c r="Y663" i="22"/>
  <c r="Z663" i="22" s="1"/>
  <c r="J662" i="22"/>
  <c r="T662" i="22"/>
  <c r="Y662" i="22"/>
  <c r="O661" i="22"/>
  <c r="P661" i="22" s="1"/>
  <c r="P662" i="22" s="1"/>
  <c r="O662" i="22"/>
  <c r="T661" i="22"/>
  <c r="U661" i="22" s="1"/>
  <c r="U662" i="22" s="1"/>
  <c r="Y661" i="22"/>
  <c r="Z661" i="22" s="1"/>
  <c r="Z662" i="22" s="1"/>
  <c r="AD662" i="22"/>
  <c r="AD663" i="22"/>
  <c r="AE663" i="22" s="1"/>
  <c r="AD661" i="22"/>
  <c r="AE661" i="22" s="1"/>
  <c r="AE662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tc={C8B4A898-4AC2-4BB5-88E2-9FB02B20418A}</author>
    <author>tc={F0750132-15CC-4B4A-AEAF-B62DC53371B5}</author>
    <author>tc={0E91F3D8-C775-44A4-9951-2298C6C1B510}</author>
    <author>tc={0FD84497-D55F-43D9-97AD-B1B274B7BD5F}</author>
    <author>tc={58A18756-102C-46EB-984E-2EEF51353806}</author>
  </authors>
  <commentList>
    <comment ref="H86" authorId="0" shapeId="0" xr:uid="{C8B4A898-4AC2-4BB5-88E2-9FB02B20418A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Currently only balanced for KOS.  Ideally need to introduce more complex balance for Mechjeb, or remove Mechjeb function entirely.</t>
      </text>
    </comment>
    <comment ref="I91" authorId="1" shapeId="0" xr:uid="{F0750132-15CC-4B4A-AEAF-B62DC53371B5}">
      <text>
        <t>[Threaded comment]
Your version of Excel allows you to read this threaded comment; however, any edits to it will get removed if the file is opened in a newer version of Excel. Learn more: https://go.microsoft.com/fwlink/?linkid=870924
Comment:
    Unlock: 4200 flightControl</t>
      </text>
    </comment>
    <comment ref="I221" authorId="2" shapeId="0" xr:uid="{0E91F3D8-C775-44A4-9951-2298C6C1B510}">
      <text>
        <t>[Threaded comment]
Your version of Excel allows you to read this threaded comment; however, any edits to it will get removed if the file is opened in a newer version of Excel. Learn more: https://go.microsoft.com/fwlink/?linkid=870924
Comment:
    Ratio of 2 to represent the fairing and core in a single unit.</t>
      </text>
    </comment>
    <comment ref="I281" authorId="3" shapeId="0" xr:uid="{0FD84497-D55F-43D9-97AD-B1B274B7BD5F}">
      <text>
        <t>[Threaded comment]
Your version of Excel allows you to read this threaded comment; however, any edits to it will get removed if the file is opened in a newer version of Excel. Learn more: https://go.microsoft.com/fwlink/?linkid=870924
Comment:
    Set to 0.5 to represent the fairing plus core being equivalent to Service Bay.</t>
      </text>
    </comment>
    <comment ref="I353" authorId="4" shapeId="0" xr:uid="{58A18756-102C-46EB-984E-2EEF51353806}">
      <text>
        <t>[Threaded comment]
Your version of Excel allows you to read this threaded comment; however, any edits to it will get removed if the file is opened in a newer version of Excel. Learn more: https://go.microsoft.com/fwlink/?linkid=870924
Comment:
    Set to 0.5 to represent the fairing plus core being equivalent to Service Bay.</t>
      </text>
    </comment>
  </commentList>
</comments>
</file>

<file path=xl/sharedStrings.xml><?xml version="1.0" encoding="utf-8"?>
<sst xmlns="http://schemas.openxmlformats.org/spreadsheetml/2006/main" count="6996" uniqueCount="726">
  <si>
    <t>Reference and look-up tables</t>
  </si>
  <si>
    <t>Color and format key</t>
  </si>
  <si>
    <t>All spelling is in US english</t>
  </si>
  <si>
    <t>Red columns represent in game values</t>
  </si>
  <si>
    <t>Blue columns represent out of game (real world) values</t>
  </si>
  <si>
    <t>Values in red have a low level of trust (place holder, estimates, ect.)</t>
  </si>
  <si>
    <t>Input field</t>
  </si>
  <si>
    <t>Value that can be adjusted to balance a part / formula</t>
  </si>
  <si>
    <t>Output field</t>
  </si>
  <si>
    <t>Value that is used in a part.cfg file or elsewhere in game</t>
  </si>
  <si>
    <t>Molecular weights and mesures</t>
  </si>
  <si>
    <t>Resource</t>
  </si>
  <si>
    <t>Formula</t>
  </si>
  <si>
    <t>Molecular mass</t>
  </si>
  <si>
    <t>Density at STP</t>
  </si>
  <si>
    <t>Moles in 1L</t>
  </si>
  <si>
    <t>Litres in 1 mol</t>
  </si>
  <si>
    <t>Carbon Dioxide</t>
  </si>
  <si>
    <t>CO2</t>
  </si>
  <si>
    <t>Hydrogen</t>
  </si>
  <si>
    <t>H2</t>
  </si>
  <si>
    <t>Methane</t>
  </si>
  <si>
    <t>CH4</t>
  </si>
  <si>
    <t>Oxygen</t>
  </si>
  <si>
    <t>O2</t>
  </si>
  <si>
    <t>Water</t>
  </si>
  <si>
    <t>H2O</t>
  </si>
  <si>
    <t>Power</t>
  </si>
  <si>
    <t>1EC =</t>
  </si>
  <si>
    <t>Resource storage and compression</t>
  </si>
  <si>
    <t>Use Phase</t>
  </si>
  <si>
    <t>Store Phase</t>
  </si>
  <si>
    <t>Compression</t>
  </si>
  <si>
    <t>Kj to Compress 1L</t>
  </si>
  <si>
    <t>EC to compress 1L</t>
  </si>
  <si>
    <t>Gas</t>
  </si>
  <si>
    <t>http://www.catalinacylinders.com/CO2Spec.pdf</t>
  </si>
  <si>
    <t>Liquid</t>
  </si>
  <si>
    <t>http://en.wikipedia.org/wiki/Hydrogen</t>
  </si>
  <si>
    <t>http://en.wikipedia.org/wiki/Methane</t>
  </si>
  <si>
    <t>http://en.wikipedia.org/wiki/Oxygen</t>
  </si>
  <si>
    <t>http://en.wikipedia.org/wiki/Water</t>
  </si>
  <si>
    <t>UvSii Structure and Fairing</t>
  </si>
  <si>
    <t>Structure Type</t>
  </si>
  <si>
    <t>None</t>
  </si>
  <si>
    <t>Radial</t>
  </si>
  <si>
    <t>1.25m</t>
  </si>
  <si>
    <t>LF/Ox Whole number values</t>
  </si>
  <si>
    <t>Liquid Fuel</t>
  </si>
  <si>
    <t>Oxydizer</t>
  </si>
  <si>
    <t>Fuel Cell</t>
  </si>
  <si>
    <t>https://en.wikipedia.org/wiki/Fuel_cell</t>
  </si>
  <si>
    <t>Ideal reaction</t>
  </si>
  <si>
    <t>Input</t>
  </si>
  <si>
    <t>Output</t>
  </si>
  <si>
    <t>Units</t>
  </si>
  <si>
    <t>Electricity</t>
  </si>
  <si>
    <t>Column1</t>
  </si>
  <si>
    <t>Moles</t>
  </si>
  <si>
    <t>https://en.wikipedia.org/wiki/Proton-exchange_membrane_fuel_cell#Efficiency</t>
  </si>
  <si>
    <t>Litres</t>
  </si>
  <si>
    <t>Real world reaction</t>
  </si>
  <si>
    <t xml:space="preserve">Efficency </t>
  </si>
  <si>
    <t>Heat</t>
  </si>
  <si>
    <t>Throttled reaction</t>
  </si>
  <si>
    <t>Throttle</t>
  </si>
  <si>
    <t>KSP Part</t>
  </si>
  <si>
    <t>EC</t>
  </si>
  <si>
    <t>Heat flux</t>
  </si>
  <si>
    <t>1 Kerbal</t>
  </si>
  <si>
    <t>Amount</t>
  </si>
  <si>
    <t>Daily (6H)</t>
  </si>
  <si>
    <t>Daily (24H)</t>
  </si>
  <si>
    <t>Food</t>
  </si>
  <si>
    <t>Waste</t>
  </si>
  <si>
    <t>Waste Water</t>
  </si>
  <si>
    <t>Sabatier Reactor</t>
  </si>
  <si>
    <t>Water Purifier</t>
  </si>
  <si>
    <t>Elektron</t>
  </si>
  <si>
    <t>Sabatier</t>
  </si>
  <si>
    <t>https://en.wikipedia.org/wiki/Sabatier_reaction</t>
  </si>
  <si>
    <t>CarbonDioxide</t>
  </si>
  <si>
    <t>KSP Part (CO2 based)</t>
  </si>
  <si>
    <t>https://en.wikipedia.org/wiki/Electrolysis_of_water</t>
  </si>
  <si>
    <t>Universal Storage II Part Stats</t>
  </si>
  <si>
    <t>Stock</t>
  </si>
  <si>
    <t>Kerbalism</t>
  </si>
  <si>
    <t>Name</t>
  </si>
  <si>
    <t>Cost</t>
  </si>
  <si>
    <t>Mass</t>
  </si>
  <si>
    <t>maxTemp</t>
  </si>
  <si>
    <t>TechRequired</t>
  </si>
  <si>
    <t>entryCost</t>
  </si>
  <si>
    <t>Cost2</t>
  </si>
  <si>
    <t>Mass3</t>
  </si>
  <si>
    <t>Universal Storage: Four bay service core (1.25m)</t>
  </si>
  <si>
    <t>advConstruction</t>
  </si>
  <si>
    <t>Universal Storage: Cylindrical fairing (1.25m)</t>
  </si>
  <si>
    <t>Universal Storage: Monopropellant Tank</t>
  </si>
  <si>
    <t>advFuelSystems</t>
  </si>
  <si>
    <t>Universal Storage: Battery</t>
  </si>
  <si>
    <t>electrics</t>
  </si>
  <si>
    <t>Universal Storage: Hydrogen Tank</t>
  </si>
  <si>
    <t>spaceExploration</t>
  </si>
  <si>
    <t>Kerbal consumption</t>
  </si>
  <si>
    <t>TAC LS</t>
  </si>
  <si>
    <t>Per Second</t>
  </si>
  <si>
    <t>Per day</t>
  </si>
  <si>
    <t>A list of resources from Stock KSP, Community resource Pack and others.</t>
  </si>
  <si>
    <t>#</t>
  </si>
  <si>
    <t>Source</t>
  </si>
  <si>
    <t>name</t>
  </si>
  <si>
    <t>density</t>
  </si>
  <si>
    <t>Volume</t>
  </si>
  <si>
    <t>unitCost</t>
  </si>
  <si>
    <t>CRP</t>
  </si>
  <si>
    <t>Actinides</t>
  </si>
  <si>
    <t>Aerozine50</t>
  </si>
  <si>
    <t>AK20</t>
  </si>
  <si>
    <t>AK27</t>
  </si>
  <si>
    <t>Alumina</t>
  </si>
  <si>
    <t>Aluminium</t>
  </si>
  <si>
    <t>Ammonia</t>
  </si>
  <si>
    <t>Aniline</t>
  </si>
  <si>
    <t>AntiHydrogen</t>
  </si>
  <si>
    <t>Antimatter</t>
  </si>
  <si>
    <t>ArgonGas</t>
  </si>
  <si>
    <t>AvGas</t>
  </si>
  <si>
    <t>Borate</t>
  </si>
  <si>
    <t>Boron</t>
  </si>
  <si>
    <t>Caesium</t>
  </si>
  <si>
    <t>Calcium</t>
  </si>
  <si>
    <t>Carbon</t>
  </si>
  <si>
    <t>CarbonMonoxide</t>
  </si>
  <si>
    <t>CaveaB</t>
  </si>
  <si>
    <t>ChargedParticles</t>
  </si>
  <si>
    <t>Chemicals</t>
  </si>
  <si>
    <t>Chlorine</t>
  </si>
  <si>
    <t>ClF3</t>
  </si>
  <si>
    <t>ClF5</t>
  </si>
  <si>
    <t>ColonySupplies</t>
  </si>
  <si>
    <t>CompressedAir</t>
  </si>
  <si>
    <t>Decaborane</t>
  </si>
  <si>
    <t>DepletedFuel</t>
  </si>
  <si>
    <t>DepletedUranium</t>
  </si>
  <si>
    <t>Deuterium</t>
  </si>
  <si>
    <t>Diborane</t>
  </si>
  <si>
    <t>Dirt</t>
  </si>
  <si>
    <t>EnrichedUranium</t>
  </si>
  <si>
    <t>Ethane</t>
  </si>
  <si>
    <t>Ethanol</t>
  </si>
  <si>
    <t>Ethanol75</t>
  </si>
  <si>
    <t>Ethanol90</t>
  </si>
  <si>
    <t>Ethylene</t>
  </si>
  <si>
    <t>ExoticMatter</t>
  </si>
  <si>
    <t>ExoticMinerals</t>
  </si>
  <si>
    <t>Fertilizer</t>
  </si>
  <si>
    <t>FLOX30</t>
  </si>
  <si>
    <t>FLOX70</t>
  </si>
  <si>
    <t>FLOX88</t>
  </si>
  <si>
    <t>Fluorine</t>
  </si>
  <si>
    <t>Fluorite</t>
  </si>
  <si>
    <t>Furfuryl</t>
  </si>
  <si>
    <t>FusionPellets</t>
  </si>
  <si>
    <t>Glykerol</t>
  </si>
  <si>
    <t>Gypsum</t>
  </si>
  <si>
    <t>HeavyWater</t>
  </si>
  <si>
    <t>Helium</t>
  </si>
  <si>
    <t>Helium3</t>
  </si>
  <si>
    <t>Helium4</t>
  </si>
  <si>
    <t>Hexaborane</t>
  </si>
  <si>
    <t>HNIW</t>
  </si>
  <si>
    <t>HTP</t>
  </si>
  <si>
    <t>HTPB</t>
  </si>
  <si>
    <t>Hydrates</t>
  </si>
  <si>
    <t>Hydrazine</t>
  </si>
  <si>
    <t>Hydyne</t>
  </si>
  <si>
    <t>IntakeAtm</t>
  </si>
  <si>
    <t>IntakeLqd</t>
  </si>
  <si>
    <t>IRFNA-III</t>
  </si>
  <si>
    <t>IRFNA-IV</t>
  </si>
  <si>
    <t>IWFNA</t>
  </si>
  <si>
    <t>Karbonite</t>
  </si>
  <si>
    <t>Karborundum</t>
  </si>
  <si>
    <t>Kerosene</t>
  </si>
  <si>
    <t>KryptonGas</t>
  </si>
  <si>
    <t>Lead</t>
  </si>
  <si>
    <t>LeadBallast</t>
  </si>
  <si>
    <t>Lithium</t>
  </si>
  <si>
    <t>Lithium6</t>
  </si>
  <si>
    <t>LithiumDeuteride</t>
  </si>
  <si>
    <t>LithiumHydride</t>
  </si>
  <si>
    <t>LqdAmmonia</t>
  </si>
  <si>
    <t>LqdArgon</t>
  </si>
  <si>
    <t>LqdCO</t>
  </si>
  <si>
    <t>LqdCO2</t>
  </si>
  <si>
    <t>LqdDeuterium</t>
  </si>
  <si>
    <t>LqdFluorine</t>
  </si>
  <si>
    <t>LqdHe3</t>
  </si>
  <si>
    <t>LqdHelium</t>
  </si>
  <si>
    <t>LqdHydrogen</t>
  </si>
  <si>
    <t>LqdKrypton</t>
  </si>
  <si>
    <t>LqdMethane</t>
  </si>
  <si>
    <t>LqdNeon</t>
  </si>
  <si>
    <t>LqdNitrogen</t>
  </si>
  <si>
    <t>LqdNitrogen15</t>
  </si>
  <si>
    <t>LqdOxygen</t>
  </si>
  <si>
    <t>LqdOxygen18</t>
  </si>
  <si>
    <t>LqdTritium</t>
  </si>
  <si>
    <t>LqdXenon</t>
  </si>
  <si>
    <t>Machinery</t>
  </si>
  <si>
    <t>Magnesium</t>
  </si>
  <si>
    <t>MaterialKits</t>
  </si>
  <si>
    <t>Megajoules</t>
  </si>
  <si>
    <t>MetallicOre</t>
  </si>
  <si>
    <t>Metals</t>
  </si>
  <si>
    <t>Methanol</t>
  </si>
  <si>
    <t>Minerals</t>
  </si>
  <si>
    <t>MMH</t>
  </si>
  <si>
    <t>MON1</t>
  </si>
  <si>
    <t>MON10</t>
  </si>
  <si>
    <t>MON15</t>
  </si>
  <si>
    <t>MON20</t>
  </si>
  <si>
    <t>MON25</t>
  </si>
  <si>
    <t>MON3</t>
  </si>
  <si>
    <t>Monazite</t>
  </si>
  <si>
    <t>Mulch</t>
  </si>
  <si>
    <t>N2F4</t>
  </si>
  <si>
    <t>NeonGas</t>
  </si>
  <si>
    <t>NGNC</t>
  </si>
  <si>
    <t>Nitratine</t>
  </si>
  <si>
    <t>Nitrogen</t>
  </si>
  <si>
    <t>NitrousOxide</t>
  </si>
  <si>
    <t>NTO</t>
  </si>
  <si>
    <t>OF2</t>
  </si>
  <si>
    <t>Organics</t>
  </si>
  <si>
    <t>PBAN</t>
  </si>
  <si>
    <t>Pentaborane</t>
  </si>
  <si>
    <t>Plutonium-238</t>
  </si>
  <si>
    <t>Polymers</t>
  </si>
  <si>
    <t>PolyvinylChloride</t>
  </si>
  <si>
    <t>Potassium</t>
  </si>
  <si>
    <t>PSPC</t>
  </si>
  <si>
    <t>RareMetals</t>
  </si>
  <si>
    <t>Recyclables</t>
  </si>
  <si>
    <t>RefinedExotics</t>
  </si>
  <si>
    <t>Regolith</t>
  </si>
  <si>
    <t>ResourceLode</t>
  </si>
  <si>
    <t>Rock</t>
  </si>
  <si>
    <t>RocketParts</t>
  </si>
  <si>
    <t>Salt</t>
  </si>
  <si>
    <t>Silicates</t>
  </si>
  <si>
    <t>Silicon</t>
  </si>
  <si>
    <t>Sodium</t>
  </si>
  <si>
    <t>SolarWind</t>
  </si>
  <si>
    <t>SolidHydrogen</t>
  </si>
  <si>
    <t>SpareParts</t>
  </si>
  <si>
    <t>SpecializedParts</t>
  </si>
  <si>
    <t>Spodumene</t>
  </si>
  <si>
    <t>StoredCharge</t>
  </si>
  <si>
    <t>Substrate</t>
  </si>
  <si>
    <t>Sulphur</t>
  </si>
  <si>
    <t>Supplies</t>
  </si>
  <si>
    <t>Syntin</t>
  </si>
  <si>
    <t>TEATEB</t>
  </si>
  <si>
    <t>ThermalPower</t>
  </si>
  <si>
    <t>ThF4</t>
  </si>
  <si>
    <t>Thorium</t>
  </si>
  <si>
    <t>Tonka250</t>
  </si>
  <si>
    <t>Tonka500</t>
  </si>
  <si>
    <t>Tritium</t>
  </si>
  <si>
    <t>UDMH</t>
  </si>
  <si>
    <t>UF4</t>
  </si>
  <si>
    <t>UH25</t>
  </si>
  <si>
    <t>Uraninite</t>
  </si>
  <si>
    <t>UraniumNitride</t>
  </si>
  <si>
    <t>VacuumPlasma</t>
  </si>
  <si>
    <t>WasteHeat</t>
  </si>
  <si>
    <t>WasteWater</t>
  </si>
  <si>
    <t>Snacks</t>
  </si>
  <si>
    <t>Soil</t>
  </si>
  <si>
    <t>Ablator</t>
  </si>
  <si>
    <t>ElectricCharge</t>
  </si>
  <si>
    <t>EVA Propellant</t>
  </si>
  <si>
    <t>IntakeAir</t>
  </si>
  <si>
    <t>LiquidFuel</t>
  </si>
  <si>
    <t>MonoPropellant</t>
  </si>
  <si>
    <t>Ore</t>
  </si>
  <si>
    <t>Oxidizer</t>
  </si>
  <si>
    <t>SolidFuel</t>
  </si>
  <si>
    <t>XenonGas</t>
  </si>
  <si>
    <t>Stock (Balanced Against TAC LS)</t>
  </si>
  <si>
    <t>TAC Life Support</t>
  </si>
  <si>
    <t>Snacks Continued</t>
  </si>
  <si>
    <t>USI Life Support</t>
  </si>
  <si>
    <t>Universal Storage II</t>
  </si>
  <si>
    <t>Cores and Fairings</t>
  </si>
  <si>
    <t>Universal Storage: Four bay service core</t>
  </si>
  <si>
    <t>1.25m Core</t>
  </si>
  <si>
    <t>Cubic Octagonal Strut</t>
  </si>
  <si>
    <t>Specs</t>
  </si>
  <si>
    <t>UvSii Previous</t>
  </si>
  <si>
    <t>UvSii Calculated</t>
  </si>
  <si>
    <t>Ratio</t>
  </si>
  <si>
    <t>Structure</t>
  </si>
  <si>
    <t>Universal Storage: Cylendrical Fairing (1.25m)</t>
  </si>
  <si>
    <t>1.25m Fairing</t>
  </si>
  <si>
    <t>T-12 Structual Tube</t>
  </si>
  <si>
    <t>Universal Storage: Cylindrical Fairing (1.25m)</t>
  </si>
  <si>
    <t>Payload Wedges</t>
  </si>
  <si>
    <t>Universal Storage: Liquid Fuel Tank</t>
  </si>
  <si>
    <t>Liquid Fuel / Oxidizer</t>
  </si>
  <si>
    <t>FL-T100</t>
  </si>
  <si>
    <t>Dry cost</t>
  </si>
  <si>
    <t>Wet mass</t>
  </si>
  <si>
    <t>Monopropellant</t>
  </si>
  <si>
    <t>FL-R25 RCS Fuel Tank</t>
  </si>
  <si>
    <t>Battery</t>
  </si>
  <si>
    <t>Z-1K Rechargable Battery Bank</t>
  </si>
  <si>
    <t>Life Support Oxygen Container, 1.25m</t>
  </si>
  <si>
    <t>Pressurized Tank</t>
  </si>
  <si>
    <t>Universal Storage: Oxygen Tank</t>
  </si>
  <si>
    <t>Universal Storage: Food Bag</t>
  </si>
  <si>
    <t>Life Support Food Container, 1.25m</t>
  </si>
  <si>
    <t>Supply Container</t>
  </si>
  <si>
    <t>S-500 Snack Tin</t>
  </si>
  <si>
    <t>Life Support Tank (1.25)</t>
  </si>
  <si>
    <t>Universal Storage: Snack Package</t>
  </si>
  <si>
    <t>Universal Storage: Life support supply bag</t>
  </si>
  <si>
    <t>USI LS</t>
  </si>
  <si>
    <t>Universal Storage: Solid Waste Tank</t>
  </si>
  <si>
    <t>Life Support Waste Container, 1.25m</t>
  </si>
  <si>
    <t>Universal Storage: Mulch Tank</t>
  </si>
  <si>
    <t>Universal Storage: Water Tank</t>
  </si>
  <si>
    <t>Life Support Water Container, 1.25m</t>
  </si>
  <si>
    <t>Universal Storage: Greywater Tank</t>
  </si>
  <si>
    <t>Fertilizer Tank (1.25)</t>
  </si>
  <si>
    <t>Universal Storage: Fertilizer Tank</t>
  </si>
  <si>
    <t>Universal Storage: Carbon Dioxide Tank</t>
  </si>
  <si>
    <t>Universal Storage: Radial Tank</t>
  </si>
  <si>
    <t>Radial - Liquid Fuel / Oxidizer</t>
  </si>
  <si>
    <t>R-11 'Bagette' External Tank</t>
  </si>
  <si>
    <t>Radial - Monopropellant</t>
  </si>
  <si>
    <t xml:space="preserve">Stratus-V Minified Monopropellant Tank </t>
  </si>
  <si>
    <t>Radial - Hydrogen</t>
  </si>
  <si>
    <t>Life Support Oxygen Hex Can, 0.75m</t>
  </si>
  <si>
    <t>Radial - Oxygen</t>
  </si>
  <si>
    <t>Radial - Food</t>
  </si>
  <si>
    <t>Radial - Snacks</t>
  </si>
  <si>
    <t>Radial - Supplies</t>
  </si>
  <si>
    <t>Life Support Food Hex Can, 0.75m</t>
  </si>
  <si>
    <t>Small Supply Container</t>
  </si>
  <si>
    <t>Radial Snack Tin</t>
  </si>
  <si>
    <t>Life Support Minipak (Supplies)</t>
  </si>
  <si>
    <t>Radial - Water</t>
  </si>
  <si>
    <t>Processor Wedges</t>
  </si>
  <si>
    <t>Universal Storage: PEM Fuel Cell</t>
  </si>
  <si>
    <t>Fuel Cell Small</t>
  </si>
  <si>
    <t>Fuel Cell (Keralism H2+O2 Version) / OX-4W</t>
  </si>
  <si>
    <t>Heat Flux</t>
  </si>
  <si>
    <t>Universal Storage: Alkaline Fuel Cell</t>
  </si>
  <si>
    <t>Fuel Cell Medium</t>
  </si>
  <si>
    <t>Fuel Cell (Keralism H2+O2 Version)</t>
  </si>
  <si>
    <t>Universal Storage: Elektron</t>
  </si>
  <si>
    <t>TACLS Water Splitter, 1.25m</t>
  </si>
  <si>
    <t>Universal Storage: Sabatier</t>
  </si>
  <si>
    <t>TACLS Sabatier Recycler, 1.25m</t>
  </si>
  <si>
    <t>Universal Storage: Water Purifier</t>
  </si>
  <si>
    <t>Recycling Module</t>
  </si>
  <si>
    <t>TACLS Water Purifier, 1.25m</t>
  </si>
  <si>
    <t>RT-500 Recycling Module</t>
  </si>
  <si>
    <t>Universal Storage: Recycling Module</t>
  </si>
  <si>
    <t>Science Wedges</t>
  </si>
  <si>
    <t>US: Atmospheric Fluid Spectro Variometer</t>
  </si>
  <si>
    <t>Atmosphere Analysis</t>
  </si>
  <si>
    <t>Atmospheric Fluid Spectro-Variometer</t>
  </si>
  <si>
    <t>Universal Storage: Atmospheric Fluid Spectro Variometer</t>
  </si>
  <si>
    <t>Science</t>
  </si>
  <si>
    <t>US: Advanced Goo Unit</t>
  </si>
  <si>
    <t>Mystery Goo</t>
  </si>
  <si>
    <t>Mystery Goo™ Containment Unit</t>
  </si>
  <si>
    <t>Universal Storage: Advanced Goo Unit</t>
  </si>
  <si>
    <t>US: Advanced Material Bay</t>
  </si>
  <si>
    <t>Material Bay</t>
  </si>
  <si>
    <t>Universal Storage: Advanced Material Bay</t>
  </si>
  <si>
    <t>US: Atmospheric Science Unit</t>
  </si>
  <si>
    <t>Thermometer + Barometer</t>
  </si>
  <si>
    <t xml:space="preserve"> PresMat Barometer + 2HOT Thermometer</t>
  </si>
  <si>
    <t>Universal Storage: Atmospheric Science Unit</t>
  </si>
  <si>
    <t>US: Physical Science Unit</t>
  </si>
  <si>
    <t>Gravioli + Accelerometer</t>
  </si>
  <si>
    <t>Double-C Seismic Accelerometer + GRAVMAX Negative Gravioli Detector</t>
  </si>
  <si>
    <t>Universal Storage: Physical Science Unit</t>
  </si>
  <si>
    <t>Science and command update</t>
  </si>
  <si>
    <t>Pironeer update</t>
  </si>
  <si>
    <t>Part</t>
  </si>
  <si>
    <t>Category</t>
  </si>
  <si>
    <t>Tech Level</t>
  </si>
  <si>
    <t>ACD (0.625m)</t>
  </si>
  <si>
    <t>Payload</t>
  </si>
  <si>
    <t>Advanced Flight Control</t>
  </si>
  <si>
    <t>ACD (1.25m)</t>
  </si>
  <si>
    <t>ACD (1.5m)</t>
  </si>
  <si>
    <t>Specialized Control</t>
  </si>
  <si>
    <t>ACD (1.875m)</t>
  </si>
  <si>
    <t>ACD (2.5m)</t>
  </si>
  <si>
    <t>Four bay service core (1.25m)</t>
  </si>
  <si>
    <t>Advanced Construction</t>
  </si>
  <si>
    <t>Five bay service core (1.5m)</t>
  </si>
  <si>
    <t>Specialized Construction</t>
  </si>
  <si>
    <t>Six bay service core (1.875m)</t>
  </si>
  <si>
    <t>Eight bay service core (2.5m)</t>
  </si>
  <si>
    <t>Cylindrical service module fairing (1.25m)</t>
  </si>
  <si>
    <t>Cylindrical service module fairing (2.5m)</t>
  </si>
  <si>
    <t>Cylindrical service module (0.625m)</t>
  </si>
  <si>
    <t>General Construction</t>
  </si>
  <si>
    <t>Tapered service module fairing (0.625m to 1.25m)</t>
  </si>
  <si>
    <t>Tapered fairing (1.5m to 1.875m)</t>
  </si>
  <si>
    <t>Tapered service module fairing (1.875m to 2.5m)</t>
  </si>
  <si>
    <t>Radial Tank</t>
  </si>
  <si>
    <t>Utility</t>
  </si>
  <si>
    <t>Survivability</t>
  </si>
  <si>
    <t>Electrical</t>
  </si>
  <si>
    <t>Electrics</t>
  </si>
  <si>
    <t>Hydrogen Tank</t>
  </si>
  <si>
    <t>Space Exploration</t>
  </si>
  <si>
    <t>Liquid Fuel Tank</t>
  </si>
  <si>
    <t>FuelTank</t>
  </si>
  <si>
    <t>Fuel Systems</t>
  </si>
  <si>
    <t>Monopropellant Tank</t>
  </si>
  <si>
    <t>Advance Fuel Systems</t>
  </si>
  <si>
    <t>Oxygen Tank</t>
  </si>
  <si>
    <t>Water Tank</t>
  </si>
  <si>
    <t>Alkaline Fuel Cell</t>
  </si>
  <si>
    <t>Advanced Exploration</t>
  </si>
  <si>
    <t>PEM Fuel Cell</t>
  </si>
  <si>
    <t>Radioisotope Thermoelectric Generator</t>
  </si>
  <si>
    <t>Experimental Electrics</t>
  </si>
  <si>
    <t>Balance</t>
  </si>
  <si>
    <t>Pack</t>
  </si>
  <si>
    <t>Type</t>
  </si>
  <si>
    <t>Reference Part</t>
  </si>
  <si>
    <t>Reference Cost</t>
  </si>
  <si>
    <t>Reference Mass</t>
  </si>
  <si>
    <t>R 1</t>
  </si>
  <si>
    <t>R 1 Amount</t>
  </si>
  <si>
    <t>R 2</t>
  </si>
  <si>
    <t>R 2 Amount</t>
  </si>
  <si>
    <t>UvSii Cost</t>
  </si>
  <si>
    <t>UvSii Mass</t>
  </si>
  <si>
    <t>R 12</t>
  </si>
  <si>
    <t>R 1 Amount3</t>
  </si>
  <si>
    <t>R 24</t>
  </si>
  <si>
    <t>R 2 Amount5</t>
  </si>
  <si>
    <t>Core</t>
  </si>
  <si>
    <t>Fairing</t>
  </si>
  <si>
    <t>T-12 Structural Tube</t>
  </si>
  <si>
    <t>Payload wedge</t>
  </si>
  <si>
    <t>Pioneer update to do list</t>
  </si>
  <si>
    <t>Complete</t>
  </si>
  <si>
    <t>Rebalance parts on spreadsheet</t>
  </si>
  <si>
    <t>Update config files with new balance numbers</t>
  </si>
  <si>
    <t>Relase first beta</t>
  </si>
  <si>
    <t>In progress</t>
  </si>
  <si>
    <t>Fix bugs</t>
  </si>
  <si>
    <t>Update UI colour pallete</t>
  </si>
  <si>
    <t>Update website with new figures</t>
  </si>
  <si>
    <t>Review localisation files</t>
  </si>
  <si>
    <t>Build sample craft files</t>
  </si>
  <si>
    <t>Load sample craft files to steam</t>
  </si>
  <si>
    <t>Single resource Wedge</t>
  </si>
  <si>
    <t>Start empty?</t>
  </si>
  <si>
    <t>Yes</t>
  </si>
  <si>
    <t>Single</t>
  </si>
  <si>
    <t>Double</t>
  </si>
  <si>
    <t>Triple</t>
  </si>
  <si>
    <t>Quad</t>
  </si>
  <si>
    <t>Liquid Fuel and Oxy resource Wedge</t>
  </si>
  <si>
    <t>Liquid fuel</t>
  </si>
  <si>
    <t xml:space="preserve">  Oxydizer</t>
  </si>
  <si>
    <t>Fuel</t>
  </si>
  <si>
    <t>Mono</t>
  </si>
  <si>
    <t>Xenon</t>
  </si>
  <si>
    <t>LF/Ox</t>
  </si>
  <si>
    <t>Mini Drill</t>
  </si>
  <si>
    <t>ISRU</t>
  </si>
  <si>
    <t>Efficiency Calculator</t>
  </si>
  <si>
    <t>Celcius</t>
  </si>
  <si>
    <t>Kelvin</t>
  </si>
  <si>
    <t>Efficiency</t>
  </si>
  <si>
    <t>TemperatureModifier</t>
  </si>
  <si>
    <t>Value</t>
  </si>
  <si>
    <t>SpecialistEfficiencyFactor</t>
  </si>
  <si>
    <t>SpecialistBonusBase</t>
  </si>
  <si>
    <t>EfficiencBonus</t>
  </si>
  <si>
    <t xml:space="preserve">ExperienceEffect </t>
  </si>
  <si>
    <t>Experience Effect</t>
  </si>
  <si>
    <t>ThermalEfficiency</t>
  </si>
  <si>
    <t>No Specialist</t>
  </si>
  <si>
    <t>0 Star Specialist</t>
  </si>
  <si>
    <t>1 Star Specialist</t>
  </si>
  <si>
    <t>2 Star Specialist</t>
  </si>
  <si>
    <t>3 Star Specialist</t>
  </si>
  <si>
    <t>4 Star Specialist</t>
  </si>
  <si>
    <t>5 Star Specialist</t>
  </si>
  <si>
    <t>Volume calculator for a capsule shaped tank</t>
  </si>
  <si>
    <t>Volume calculator for a spherical tank</t>
  </si>
  <si>
    <t>Radius</t>
  </si>
  <si>
    <t>Meters</t>
  </si>
  <si>
    <t>Height</t>
  </si>
  <si>
    <r>
      <t>Meters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</si>
  <si>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t xml:space="preserve">Volume </t>
  </si>
  <si>
    <t>Maximum theoretical volume for wedge</t>
  </si>
  <si>
    <t>Volume calculator for a cylindrical tank</t>
  </si>
  <si>
    <t>Hight</t>
  </si>
  <si>
    <t>Angle</t>
  </si>
  <si>
    <t>Degrees</t>
  </si>
  <si>
    <r>
      <t>Meters</t>
    </r>
    <r>
      <rPr>
        <vertAlign val="superscript"/>
        <sz val="11"/>
        <color theme="1"/>
        <rFont val="Calibri"/>
        <family val="2"/>
        <scheme val="minor"/>
      </rPr>
      <t>3</t>
    </r>
  </si>
  <si>
    <t>Liters</t>
  </si>
  <si>
    <t>Liquid Fuel &amp; Oxydizer Calculator</t>
  </si>
  <si>
    <t>Correct Ratio</t>
  </si>
  <si>
    <t>UvSii Liquid Fuel Tank</t>
  </si>
  <si>
    <t>Tripple</t>
  </si>
  <si>
    <t>Fuel 1.2 Ratio whole numbers only</t>
  </si>
  <si>
    <t>Filter box (filter but do not sort this table)</t>
  </si>
  <si>
    <t>Relase</t>
  </si>
  <si>
    <t>File Name</t>
  </si>
  <si>
    <t>Order</t>
  </si>
  <si>
    <t>Folder</t>
  </si>
  <si>
    <t>USI-LS</t>
  </si>
  <si>
    <t>ACD1500</t>
  </si>
  <si>
    <t>USACD1500</t>
  </si>
  <si>
    <t>Coupling</t>
  </si>
  <si>
    <t>Control</t>
  </si>
  <si>
    <t>Universal Storage: ACD (1.5m)</t>
  </si>
  <si>
    <t>Reference Pt.</t>
  </si>
  <si>
    <t>TD-12 Decoupler</t>
  </si>
  <si>
    <t>Tech required</t>
  </si>
  <si>
    <t>engineering101</t>
  </si>
  <si>
    <t>Entry cost</t>
  </si>
  <si>
    <t>crashTolerance</t>
  </si>
  <si>
    <t>Ref. Pt.</t>
  </si>
  <si>
    <t>UvSii Adjusted</t>
  </si>
  <si>
    <t>ACDLarge</t>
  </si>
  <si>
    <t>USACDLarge</t>
  </si>
  <si>
    <t>Universal Storage: ACD (2.5m)</t>
  </si>
  <si>
    <t>TD-25 Decoupler</t>
  </si>
  <si>
    <t>generalConstruction</t>
  </si>
  <si>
    <t>ACDMedium</t>
  </si>
  <si>
    <t>USACDMedium</t>
  </si>
  <si>
    <t>Universal Storage: ACD (1.875m)</t>
  </si>
  <si>
    <t>ACDSmall</t>
  </si>
  <si>
    <t>USACDSmall</t>
  </si>
  <si>
    <t>Universal Storage: ACD (1.25m)</t>
  </si>
  <si>
    <t>ACDTiny</t>
  </si>
  <si>
    <t>USACDTiny</t>
  </si>
  <si>
    <t>Universal Storage: ACD (0.625m)</t>
  </si>
  <si>
    <t>TD-06 Decoupler</t>
  </si>
  <si>
    <t>precisionEngineering</t>
  </si>
  <si>
    <t>BatteryWedge</t>
  </si>
  <si>
    <t>USBatteryWedge</t>
  </si>
  <si>
    <t>FullCellSmall</t>
  </si>
  <si>
    <t>USFuelCellSmal</t>
  </si>
  <si>
    <t>largeElectrics</t>
  </si>
  <si>
    <t>FuelCellMedium</t>
  </si>
  <si>
    <t>USFuelCellMedium</t>
  </si>
  <si>
    <t>specializedElectrics</t>
  </si>
  <si>
    <t>GuidenceComputer</t>
  </si>
  <si>
    <t>USGuidanceComputer</t>
  </si>
  <si>
    <t>Universal Storage: Guidance Computer</t>
  </si>
  <si>
    <t>CX-4181 Scriptable Control System (KOS)</t>
  </si>
  <si>
    <t>flightControl</t>
  </si>
  <si>
    <t>RTGWedge</t>
  </si>
  <si>
    <t>USRTGWedge</t>
  </si>
  <si>
    <t>Universal Storage: Radioisotope Thermoelectric Generator</t>
  </si>
  <si>
    <t>PB-NUK Radioisotope Thermoelectric Generator</t>
  </si>
  <si>
    <t>experimentalElectrics</t>
  </si>
  <si>
    <t>AerozineWedge</t>
  </si>
  <si>
    <t>USAerozineWedge</t>
  </si>
  <si>
    <t>Fuel tank</t>
  </si>
  <si>
    <t>Fuels</t>
  </si>
  <si>
    <t>FuelSystems</t>
  </si>
  <si>
    <t>HydrazineWedge</t>
  </si>
  <si>
    <t>USHydrazineWedge</t>
  </si>
  <si>
    <t>HydrogenWedge</t>
  </si>
  <si>
    <t>USHydrogenWedge</t>
  </si>
  <si>
    <t>OxygenWedge</t>
  </si>
  <si>
    <t>USOxygenWedge</t>
  </si>
  <si>
    <t>survivability</t>
  </si>
  <si>
    <t>AdaptorShroud0625</t>
  </si>
  <si>
    <t>USAdaptorShroud0625</t>
  </si>
  <si>
    <t>Shrouds</t>
  </si>
  <si>
    <t>Universal Storage: Tapered fairing (0.625m to 1.25m)</t>
  </si>
  <si>
    <t>SM-6A Service Module</t>
  </si>
  <si>
    <t>Solar panels</t>
  </si>
  <si>
    <t>OX-STAR Photovoltaic Panels</t>
  </si>
  <si>
    <t>AdaptorShroud1250</t>
  </si>
  <si>
    <t>USAdaptorShroud1250</t>
  </si>
  <si>
    <t>Universal Storage: Tapered fairing (1.25m to 1.875m)</t>
  </si>
  <si>
    <t>Pioneer Update</t>
  </si>
  <si>
    <t>AdaptorShroud1250Soyuz</t>
  </si>
  <si>
    <t>USAdaptorShroud1250Soyuz</t>
  </si>
  <si>
    <t>Universal Storage: Soyuz fairing (1.25m to 1.5m)</t>
  </si>
  <si>
    <t>FL-R25</t>
  </si>
  <si>
    <t>Fuel tanks</t>
  </si>
  <si>
    <t>R-12</t>
  </si>
  <si>
    <t>AdaptorShroud1250Vostok</t>
  </si>
  <si>
    <t>USAdaptorShroud1250Vostok</t>
  </si>
  <si>
    <t>Universal Storage: Vostok fairing (1.25m to 1.5m)</t>
  </si>
  <si>
    <t>Universal Storage: Cylindrical Fairing (1.25m) + Universal Storage: Four bay service core (1.25m)</t>
  </si>
  <si>
    <t>AdaptorShroud1500</t>
  </si>
  <si>
    <t>USAdaptorShroud1500</t>
  </si>
  <si>
    <t>Universal Storage: Tapered fairing (1.5m to 1.875m)</t>
  </si>
  <si>
    <t>Solar Panels</t>
  </si>
  <si>
    <t>OX-STAT</t>
  </si>
  <si>
    <t>Electric Charge</t>
  </si>
  <si>
    <t>AdaptorShroud1875</t>
  </si>
  <si>
    <t>USAdaptorShroud1875</t>
  </si>
  <si>
    <t>Universal Storage: Tapered fairing (1.875m to 2.5m)</t>
  </si>
  <si>
    <t>CylindricalShroud125</t>
  </si>
  <si>
    <t>USAdaptorShroud1891</t>
  </si>
  <si>
    <t>USAdaptorShroud1892</t>
  </si>
  <si>
    <t>Service Bay (1.25m)</t>
  </si>
  <si>
    <t>USAdaptorShroud1893</t>
  </si>
  <si>
    <t>USAdaptorShroud1894</t>
  </si>
  <si>
    <t>USAdaptorShroud1895</t>
  </si>
  <si>
    <t>USAdaptorShroud1896</t>
  </si>
  <si>
    <t>USAdaptorShroud1897</t>
  </si>
  <si>
    <t>USAdaptorShroud1898</t>
  </si>
  <si>
    <t>USAdaptorShroud1899</t>
  </si>
  <si>
    <t>CylindricalShroud250</t>
  </si>
  <si>
    <t>USCylindricalShroud250</t>
  </si>
  <si>
    <t>Universal Storage: Cylindrical Fairing (2.5m)</t>
  </si>
  <si>
    <t>CylindricalShroud0625</t>
  </si>
  <si>
    <t>USCylindricalShroud0625</t>
  </si>
  <si>
    <t>Universal Storage: Cylindrical service module (0.625m)</t>
  </si>
  <si>
    <t>CylindricalShroud1500</t>
  </si>
  <si>
    <t>USCylindricalShroud1500</t>
  </si>
  <si>
    <t>Universal Storage: Cylindrical fairing (1.5m)</t>
  </si>
  <si>
    <t>KASRadial</t>
  </si>
  <si>
    <t>USKASRadial</t>
  </si>
  <si>
    <t>Universal Storage: Surface Mountable Inventory Container</t>
  </si>
  <si>
    <t>SC-62 Portable Container</t>
  </si>
  <si>
    <t>KISinventory</t>
  </si>
  <si>
    <t>50/4/4</t>
  </si>
  <si>
    <t>50/4/2</t>
  </si>
  <si>
    <t>KASWedge</t>
  </si>
  <si>
    <t>USKASWedge</t>
  </si>
  <si>
    <t>Universal Storage: Storage Inventory System</t>
  </si>
  <si>
    <t>US_Quad</t>
  </si>
  <si>
    <t>USQuadcore</t>
  </si>
  <si>
    <t>Structural</t>
  </si>
  <si>
    <t>US_Penti</t>
  </si>
  <si>
    <t>USPenticore</t>
  </si>
  <si>
    <t>Universal Storage: Five bay service core (1.5m)</t>
  </si>
  <si>
    <t>Oscar-B</t>
  </si>
  <si>
    <t>FL-R10</t>
  </si>
  <si>
    <t>PB-X150</t>
  </si>
  <si>
    <t>US_Hex</t>
  </si>
  <si>
    <t>USHexcore</t>
  </si>
  <si>
    <t>Universal Storage: Six bay service core (1.875m)</t>
  </si>
  <si>
    <t>US_Octo</t>
  </si>
  <si>
    <t>USOctocore</t>
  </si>
  <si>
    <t>Universal Storage: Eight bay service core (2.5m)</t>
  </si>
  <si>
    <t>DoubleProbeCore</t>
  </si>
  <si>
    <t>USDoubleProbeCore</t>
  </si>
  <si>
    <t>Pods</t>
  </si>
  <si>
    <t>Command</t>
  </si>
  <si>
    <t xml:space="preserve">Universal Storage: Remote Operations System </t>
  </si>
  <si>
    <t>Probodobodyne Stayputnik</t>
  </si>
  <si>
    <t>basicScience</t>
  </si>
  <si>
    <t>SingleProbeCore</t>
  </si>
  <si>
    <t>USSingleProbeCore</t>
  </si>
  <si>
    <t>Universal Storage: Advanced Operations System</t>
  </si>
  <si>
    <t>Probodobodyne HECS</t>
  </si>
  <si>
    <t>AccelGravWedge</t>
  </si>
  <si>
    <t>USAccelGravWedge</t>
  </si>
  <si>
    <t>advScienceTech</t>
  </si>
  <si>
    <t>FluidSpectroWedge</t>
  </si>
  <si>
    <t>USFluidSpectroWedge</t>
  </si>
  <si>
    <t>scienceTech</t>
  </si>
  <si>
    <t>GooBayWedge</t>
  </si>
  <si>
    <t>USGooBayWedge</t>
  </si>
  <si>
    <t>Miniaturization</t>
  </si>
  <si>
    <t>MatBayWedge</t>
  </si>
  <si>
    <t>USMatBayWedge</t>
  </si>
  <si>
    <t>SC-9001 Science Jr.</t>
  </si>
  <si>
    <t>ThermoBaroWedge</t>
  </si>
  <si>
    <t>USThermoBaroWedge</t>
  </si>
  <si>
    <t>CargoStorageWedge</t>
  </si>
  <si>
    <t>USCargoStorageWedge</t>
  </si>
  <si>
    <t>Universal Storage: Cargo Wedge</t>
  </si>
  <si>
    <t>SEQ-3 Cargo Storage Unit</t>
  </si>
  <si>
    <t>Inventory Slots</t>
  </si>
  <si>
    <t>USElektron</t>
  </si>
  <si>
    <t>Processors</t>
  </si>
  <si>
    <t>USSabatier</t>
  </si>
  <si>
    <t>electronics</t>
  </si>
  <si>
    <t>WaterPurifier</t>
  </si>
  <si>
    <t>USWaterPurifier</t>
  </si>
  <si>
    <t>EVAExtender</t>
  </si>
  <si>
    <t>USEVAX</t>
  </si>
  <si>
    <t>Universal Storage: EVA-X</t>
  </si>
  <si>
    <t>advExploration</t>
  </si>
  <si>
    <t>ComboLifesupportWedge</t>
  </si>
  <si>
    <t>USComboLifesupportWedge</t>
  </si>
  <si>
    <t>Life Support</t>
  </si>
  <si>
    <t>Universal Storage: Combination Lifesupport Bag</t>
  </si>
  <si>
    <t>FoodWedge</t>
  </si>
  <si>
    <t>USFoodWedge</t>
  </si>
  <si>
    <t>Life support supply box Normal</t>
  </si>
  <si>
    <t>basicRocketry</t>
  </si>
  <si>
    <t>WaterWedge</t>
  </si>
  <si>
    <t>USWaterWedge</t>
  </si>
  <si>
    <t>CarbonDioxideWedge</t>
  </si>
  <si>
    <t>USCarbonDioxideWedge</t>
  </si>
  <si>
    <t>Pressurised tank</t>
  </si>
  <si>
    <t>GreyWaterWedge</t>
  </si>
  <si>
    <t>SolidWasteWedge</t>
  </si>
  <si>
    <t>Universal Storage: Soil Tank</t>
  </si>
  <si>
    <t>RadialTanks</t>
  </si>
  <si>
    <t>USRadialTanks</t>
  </si>
  <si>
    <t>Monoprop</t>
  </si>
  <si>
    <t>Pressurized Tank Small</t>
  </si>
  <si>
    <t>Liquid Methane and Oxy resource Wedge</t>
  </si>
  <si>
    <t>Liquid Methane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</si>
</sst>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0\ \k\J"/>
    <numFmt numFmtId="165" formatCode="0.0000"/>
    <numFmt numFmtId="166" formatCode="0.00\ \k\J"/>
    <numFmt numFmtId="167" formatCode="0.000000000000000000"/>
    <numFmt numFmtId="168" formatCode="0.0000\ \k\J"/>
    <numFmt numFmtId="169" formatCode="0.000"/>
    <numFmt numFmtId="170" formatCode="0.0000000000000000"/>
    <numFmt numFmtId="171" formatCode="0.000000"/>
    <numFmt numFmtId="172" formatCode="0.00000000000000000000"/>
    <numFmt numFmtId="173" formatCode="0.00000000000000000"/>
    <numFmt numFmtId="174" formatCode="0.0"/>
    <numFmt numFmtId="175" formatCode="0.0000000000"/>
    <numFmt numFmtId="176" formatCode="0.000000000000000"/>
    <numFmt numFmtId="177" formatCode="0.000000000"/>
  </numFmts>
  <fonts count="3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8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8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3F3F76"/>
      <name val="Consolas"/>
      <family val="3"/>
    </font>
    <font>
      <b/>
      <sz val="11"/>
      <color rgb="FF3F3F3F"/>
      <name val="Consolas"/>
      <family val="3"/>
    </font>
    <font>
      <sz val="11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3F3F3F"/>
      <name val="Consolas"/>
      <family val="3"/>
    </font>
    <font>
      <sz val="20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theme="0" tint="-0.14999847407452621"/>
      </patternFill>
    </fill>
    <fill>
      <patternFill patternType="solid">
        <fgColor theme="0"/>
        <bgColor theme="5"/>
      </patternFill>
    </fill>
    <fill>
      <patternFill patternType="solid">
        <fgColor theme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/>
      <top/>
      <bottom/>
      <diagonal/>
    </border>
    <border>
      <left style="thin">
        <color rgb="FF3F3F3F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1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1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10" fillId="0" borderId="0" applyNumberFormat="0" applyFill="0" applyBorder="0" applyAlignment="0" applyProtection="0"/>
    <xf numFmtId="0" fontId="12" fillId="3" borderId="1" applyNumberFormat="0" applyAlignment="0" applyProtection="0"/>
    <xf numFmtId="0" fontId="13" fillId="9" borderId="0" applyNumberFormat="0" applyBorder="0" applyAlignment="0" applyProtection="0"/>
    <xf numFmtId="0" fontId="14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21" fillId="14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274">
    <xf numFmtId="0" fontId="0" fillId="0" borderId="0" xfId="0"/>
    <xf numFmtId="0" fontId="0" fillId="0" borderId="0" xfId="0" applyAlignment="1">
      <alignment horizontal="left"/>
    </xf>
    <xf numFmtId="0" fontId="1" fillId="2" borderId="1" xfId="1"/>
    <xf numFmtId="0" fontId="5" fillId="0" borderId="0" xfId="0" applyFont="1" applyAlignment="1">
      <alignment horizontal="right"/>
    </xf>
    <xf numFmtId="164" fontId="9" fillId="2" borderId="1" xfId="1" applyNumberFormat="1" applyFont="1" applyAlignment="1">
      <alignment horizontal="left"/>
    </xf>
    <xf numFmtId="0" fontId="2" fillId="3" borderId="2" xfId="2"/>
    <xf numFmtId="165" fontId="0" fillId="0" borderId="0" xfId="0" applyNumberFormat="1"/>
    <xf numFmtId="165" fontId="0" fillId="0" borderId="0" xfId="0" applyNumberFormat="1" applyAlignment="1">
      <alignment horizontal="right"/>
    </xf>
    <xf numFmtId="166" fontId="0" fillId="0" borderId="0" xfId="0" applyNumberFormat="1" applyAlignment="1">
      <alignment horizontal="left"/>
    </xf>
    <xf numFmtId="9" fontId="1" fillId="2" borderId="1" xfId="1" applyNumberFormat="1" applyAlignment="1">
      <alignment horizontal="left"/>
    </xf>
    <xf numFmtId="0" fontId="0" fillId="0" borderId="6" xfId="0" applyBorder="1" applyAlignment="1">
      <alignment horizontal="left"/>
    </xf>
    <xf numFmtId="167" fontId="2" fillId="3" borderId="2" xfId="2" applyNumberFormat="1"/>
    <xf numFmtId="0" fontId="0" fillId="6" borderId="0" xfId="0" applyFill="1"/>
    <xf numFmtId="0" fontId="10" fillId="6" borderId="0" xfId="5" applyFill="1"/>
    <xf numFmtId="0" fontId="10" fillId="6" borderId="3" xfId="5" applyFill="1" applyBorder="1"/>
    <xf numFmtId="0" fontId="10" fillId="6" borderId="4" xfId="5" applyFill="1" applyBorder="1"/>
    <xf numFmtId="0" fontId="7" fillId="6" borderId="0" xfId="0" applyFont="1" applyFill="1"/>
    <xf numFmtId="0" fontId="8" fillId="6" borderId="0" xfId="0" applyFont="1" applyFill="1"/>
    <xf numFmtId="0" fontId="5" fillId="6" borderId="0" xfId="0" applyFont="1" applyFill="1" applyAlignment="1">
      <alignment horizontal="right"/>
    </xf>
    <xf numFmtId="0" fontId="0" fillId="6" borderId="0" xfId="0" applyFill="1" applyAlignment="1">
      <alignment horizontal="left"/>
    </xf>
    <xf numFmtId="1" fontId="2" fillId="3" borderId="2" xfId="2" applyNumberFormat="1"/>
    <xf numFmtId="168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" fontId="2" fillId="3" borderId="2" xfId="2" applyNumberFormat="1" applyAlignment="1">
      <alignment horizontal="left"/>
    </xf>
    <xf numFmtId="2" fontId="2" fillId="3" borderId="2" xfId="2" applyNumberFormat="1" applyAlignment="1">
      <alignment horizontal="left"/>
    </xf>
    <xf numFmtId="0" fontId="1" fillId="2" borderId="1" xfId="1" applyAlignment="1">
      <alignment horizontal="left"/>
    </xf>
    <xf numFmtId="0" fontId="11" fillId="6" borderId="0" xfId="0" applyFont="1" applyFill="1"/>
    <xf numFmtId="169" fontId="0" fillId="0" borderId="0" xfId="0" applyNumberFormat="1"/>
    <xf numFmtId="1" fontId="0" fillId="0" borderId="0" xfId="0" applyNumberFormat="1"/>
    <xf numFmtId="0" fontId="12" fillId="3" borderId="1" xfId="6"/>
    <xf numFmtId="1" fontId="12" fillId="3" borderId="1" xfId="6" applyNumberFormat="1"/>
    <xf numFmtId="169" fontId="12" fillId="3" borderId="1" xfId="6" applyNumberFormat="1"/>
    <xf numFmtId="0" fontId="0" fillId="6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6" borderId="0" xfId="0" applyFill="1" applyAlignment="1">
      <alignment horizontal="right"/>
    </xf>
    <xf numFmtId="0" fontId="7" fillId="0" borderId="0" xfId="0" applyFont="1"/>
    <xf numFmtId="1" fontId="0" fillId="6" borderId="0" xfId="0" applyNumberFormat="1" applyFill="1"/>
    <xf numFmtId="1" fontId="13" fillId="9" borderId="0" xfId="7" applyNumberFormat="1"/>
    <xf numFmtId="169" fontId="13" fillId="9" borderId="0" xfId="7" applyNumberFormat="1"/>
    <xf numFmtId="0" fontId="5" fillId="0" borderId="0" xfId="0" applyFont="1"/>
    <xf numFmtId="0" fontId="15" fillId="0" borderId="0" xfId="0" applyFont="1"/>
    <xf numFmtId="0" fontId="16" fillId="6" borderId="0" xfId="4" applyFont="1" applyFill="1" applyAlignment="1">
      <alignment horizontal="center"/>
    </xf>
    <xf numFmtId="0" fontId="3" fillId="10" borderId="0" xfId="8" applyFont="1"/>
    <xf numFmtId="0" fontId="5" fillId="6" borderId="0" xfId="0" applyFont="1" applyFill="1"/>
    <xf numFmtId="0" fontId="5" fillId="6" borderId="0" xfId="0" applyFont="1" applyFill="1" applyAlignment="1">
      <alignment horizontal="left"/>
    </xf>
    <xf numFmtId="0" fontId="0" fillId="6" borderId="12" xfId="0" applyFill="1" applyBorder="1"/>
    <xf numFmtId="0" fontId="0" fillId="6" borderId="6" xfId="0" applyFill="1" applyBorder="1"/>
    <xf numFmtId="0" fontId="0" fillId="0" borderId="9" xfId="0" applyBorder="1"/>
    <xf numFmtId="2" fontId="1" fillId="2" borderId="1" xfId="1" applyNumberFormat="1"/>
    <xf numFmtId="0" fontId="0" fillId="0" borderId="11" xfId="0" applyBorder="1"/>
    <xf numFmtId="0" fontId="0" fillId="0" borderId="12" xfId="0" applyBorder="1"/>
    <xf numFmtId="0" fontId="0" fillId="0" borderId="6" xfId="0" applyBorder="1"/>
    <xf numFmtId="0" fontId="5" fillId="0" borderId="12" xfId="0" applyFont="1" applyBorder="1"/>
    <xf numFmtId="2" fontId="5" fillId="0" borderId="0" xfId="0" applyNumberFormat="1" applyFont="1"/>
    <xf numFmtId="0" fontId="5" fillId="0" borderId="6" xfId="0" applyFont="1" applyBorder="1"/>
    <xf numFmtId="0" fontId="5" fillId="0" borderId="13" xfId="0" applyFont="1" applyBorder="1"/>
    <xf numFmtId="2" fontId="5" fillId="0" borderId="14" xfId="0" applyNumberFormat="1" applyFont="1" applyBorder="1"/>
    <xf numFmtId="0" fontId="5" fillId="0" borderId="15" xfId="0" applyFont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2" fontId="0" fillId="0" borderId="0" xfId="0" applyNumberFormat="1"/>
    <xf numFmtId="0" fontId="0" fillId="0" borderId="13" xfId="0" applyBorder="1"/>
    <xf numFmtId="2" fontId="0" fillId="0" borderId="14" xfId="0" applyNumberFormat="1" applyBorder="1"/>
    <xf numFmtId="0" fontId="0" fillId="0" borderId="15" xfId="0" applyBorder="1"/>
    <xf numFmtId="0" fontId="13" fillId="9" borderId="0" xfId="7"/>
    <xf numFmtId="0" fontId="6" fillId="5" borderId="0" xfId="4"/>
    <xf numFmtId="0" fontId="3" fillId="5" borderId="0" xfId="4" applyFont="1"/>
    <xf numFmtId="0" fontId="1" fillId="2" borderId="16" xfId="1" applyBorder="1"/>
    <xf numFmtId="0" fontId="1" fillId="2" borderId="17" xfId="1" applyBorder="1"/>
    <xf numFmtId="9" fontId="2" fillId="3" borderId="18" xfId="2" applyNumberFormat="1" applyBorder="1"/>
    <xf numFmtId="0" fontId="0" fillId="0" borderId="19" xfId="0" applyBorder="1"/>
    <xf numFmtId="0" fontId="0" fillId="0" borderId="14" xfId="0" applyBorder="1"/>
    <xf numFmtId="0" fontId="8" fillId="6" borderId="0" xfId="0" applyFont="1" applyFill="1" applyAlignment="1">
      <alignment horizontal="left"/>
    </xf>
    <xf numFmtId="0" fontId="7" fillId="6" borderId="0" xfId="0" applyFont="1" applyFill="1" applyAlignment="1">
      <alignment horizontal="left"/>
    </xf>
    <xf numFmtId="0" fontId="3" fillId="7" borderId="0" xfId="0" applyFont="1" applyFill="1"/>
    <xf numFmtId="0" fontId="6" fillId="12" borderId="0" xfId="10"/>
    <xf numFmtId="0" fontId="3" fillId="13" borderId="0" xfId="11" applyFont="1"/>
    <xf numFmtId="0" fontId="3" fillId="12" borderId="0" xfId="10" applyFont="1"/>
    <xf numFmtId="170" fontId="2" fillId="3" borderId="2" xfId="2" applyNumberFormat="1" applyAlignment="1">
      <alignment horizontal="left"/>
    </xf>
    <xf numFmtId="171" fontId="2" fillId="3" borderId="2" xfId="2" applyNumberFormat="1" applyAlignment="1">
      <alignment horizontal="left"/>
    </xf>
    <xf numFmtId="172" fontId="0" fillId="0" borderId="0" xfId="0" applyNumberFormat="1"/>
    <xf numFmtId="0" fontId="4" fillId="0" borderId="0" xfId="0" applyFont="1"/>
    <xf numFmtId="172" fontId="4" fillId="0" borderId="0" xfId="0" applyNumberFormat="1" applyFont="1"/>
    <xf numFmtId="167" fontId="4" fillId="0" borderId="0" xfId="0" applyNumberFormat="1" applyFont="1"/>
    <xf numFmtId="1" fontId="13" fillId="0" borderId="0" xfId="7" applyNumberFormat="1" applyFill="1"/>
    <xf numFmtId="169" fontId="13" fillId="0" borderId="0" xfId="7" applyNumberFormat="1" applyFill="1"/>
    <xf numFmtId="0" fontId="4" fillId="0" borderId="0" xfId="7" applyFont="1" applyFill="1"/>
    <xf numFmtId="0" fontId="20" fillId="6" borderId="0" xfId="0" applyFont="1" applyFill="1"/>
    <xf numFmtId="0" fontId="21" fillId="14" borderId="0" xfId="12"/>
    <xf numFmtId="167" fontId="0" fillId="0" borderId="0" xfId="0" applyNumberFormat="1"/>
    <xf numFmtId="173" fontId="2" fillId="3" borderId="2" xfId="2" applyNumberFormat="1" applyAlignment="1">
      <alignment horizontal="left"/>
    </xf>
    <xf numFmtId="172" fontId="2" fillId="3" borderId="2" xfId="2" applyNumberFormat="1" applyAlignment="1">
      <alignment horizontal="left"/>
    </xf>
    <xf numFmtId="172" fontId="13" fillId="9" borderId="0" xfId="7" applyNumberFormat="1"/>
    <xf numFmtId="173" fontId="13" fillId="9" borderId="0" xfId="7" applyNumberFormat="1"/>
    <xf numFmtId="167" fontId="13" fillId="9" borderId="0" xfId="7" applyNumberFormat="1"/>
    <xf numFmtId="2" fontId="13" fillId="9" borderId="0" xfId="7" applyNumberFormat="1"/>
    <xf numFmtId="1" fontId="14" fillId="0" borderId="0" xfId="7" applyNumberFormat="1" applyFont="1" applyFill="1"/>
    <xf numFmtId="169" fontId="14" fillId="0" borderId="0" xfId="7" applyNumberFormat="1" applyFont="1" applyFill="1"/>
    <xf numFmtId="0" fontId="5" fillId="6" borderId="0" xfId="0" applyFont="1" applyFill="1" applyAlignment="1">
      <alignment horizontal="left" vertical="center" textRotation="90"/>
    </xf>
    <xf numFmtId="0" fontId="0" fillId="15" borderId="0" xfId="0" applyFill="1"/>
    <xf numFmtId="0" fontId="5" fillId="15" borderId="0" xfId="0" applyFont="1" applyFill="1"/>
    <xf numFmtId="0" fontId="23" fillId="15" borderId="0" xfId="13" applyFill="1"/>
    <xf numFmtId="0" fontId="24" fillId="15" borderId="0" xfId="0" applyFont="1" applyFill="1"/>
    <xf numFmtId="169" fontId="25" fillId="2" borderId="1" xfId="1" applyNumberFormat="1" applyFont="1"/>
    <xf numFmtId="169" fontId="26" fillId="3" borderId="2" xfId="2" applyNumberFormat="1" applyFont="1"/>
    <xf numFmtId="0" fontId="5" fillId="6" borderId="0" xfId="0" applyFont="1" applyFill="1" applyAlignment="1">
      <alignment textRotation="90"/>
    </xf>
    <xf numFmtId="0" fontId="0" fillId="6" borderId="0" xfId="0" applyFill="1" applyAlignment="1">
      <alignment textRotation="90"/>
    </xf>
    <xf numFmtId="0" fontId="27" fillId="6" borderId="0" xfId="0" applyFont="1" applyFill="1"/>
    <xf numFmtId="169" fontId="27" fillId="6" borderId="0" xfId="0" applyNumberFormat="1" applyFont="1" applyFill="1"/>
    <xf numFmtId="169" fontId="0" fillId="6" borderId="0" xfId="0" applyNumberFormat="1" applyFill="1"/>
    <xf numFmtId="0" fontId="27" fillId="0" borderId="0" xfId="0" applyFont="1"/>
    <xf numFmtId="169" fontId="27" fillId="0" borderId="0" xfId="0" applyNumberFormat="1" applyFont="1"/>
    <xf numFmtId="0" fontId="3" fillId="5" borderId="0" xfId="4" applyFont="1" applyAlignment="1"/>
    <xf numFmtId="0" fontId="0" fillId="6" borderId="0" xfId="0" applyFill="1" applyBorder="1"/>
    <xf numFmtId="0" fontId="0" fillId="15" borderId="0" xfId="0" applyFill="1" applyBorder="1"/>
    <xf numFmtId="0" fontId="7" fillId="15" borderId="0" xfId="0" applyFont="1" applyFill="1" applyBorder="1"/>
    <xf numFmtId="0" fontId="28" fillId="6" borderId="0" xfId="4" applyFont="1" applyFill="1" applyAlignment="1">
      <alignment horizontal="center"/>
    </xf>
    <xf numFmtId="0" fontId="0" fillId="15" borderId="0" xfId="0" applyFont="1" applyFill="1" applyBorder="1"/>
    <xf numFmtId="0" fontId="0" fillId="6" borderId="0" xfId="0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7" fillId="6" borderId="0" xfId="0" applyFont="1" applyFill="1" applyAlignment="1">
      <alignment horizontal="left" vertical="top"/>
    </xf>
    <xf numFmtId="0" fontId="28" fillId="15" borderId="0" xfId="4" applyFont="1" applyFill="1" applyBorder="1" applyAlignment="1">
      <alignment horizontal="center"/>
    </xf>
    <xf numFmtId="0" fontId="0" fillId="6" borderId="20" xfId="0" applyFill="1" applyBorder="1" applyAlignment="1">
      <alignment horizontal="left" vertical="top"/>
    </xf>
    <xf numFmtId="0" fontId="0" fillId="6" borderId="20" xfId="0" applyFill="1" applyBorder="1"/>
    <xf numFmtId="0" fontId="0" fillId="6" borderId="0" xfId="0" applyFill="1" applyBorder="1" applyAlignment="1">
      <alignment horizontal="left" vertical="top"/>
    </xf>
    <xf numFmtId="0" fontId="0" fillId="6" borderId="0" xfId="0" applyFont="1" applyFill="1"/>
    <xf numFmtId="170" fontId="1" fillId="2" borderId="1" xfId="1" applyNumberFormat="1" applyAlignment="1">
      <alignment horizontal="left"/>
    </xf>
    <xf numFmtId="0" fontId="2" fillId="3" borderId="2" xfId="2" applyNumberFormat="1" applyAlignment="1">
      <alignment horizontal="left"/>
    </xf>
    <xf numFmtId="0" fontId="0" fillId="0" borderId="20" xfId="0" applyFont="1" applyBorder="1"/>
    <xf numFmtId="167" fontId="0" fillId="6" borderId="20" xfId="0" applyNumberFormat="1" applyFill="1" applyBorder="1"/>
    <xf numFmtId="0" fontId="3" fillId="6" borderId="20" xfId="4" applyFont="1" applyFill="1" applyBorder="1" applyAlignment="1">
      <alignment horizontal="center"/>
    </xf>
    <xf numFmtId="0" fontId="16" fillId="6" borderId="20" xfId="4" applyFont="1" applyFill="1" applyBorder="1" applyAlignment="1">
      <alignment horizontal="center"/>
    </xf>
    <xf numFmtId="0" fontId="3" fillId="7" borderId="21" xfId="0" applyFont="1" applyFill="1" applyBorder="1"/>
    <xf numFmtId="0" fontId="0" fillId="0" borderId="0" xfId="0" applyBorder="1"/>
    <xf numFmtId="0" fontId="1" fillId="2" borderId="22" xfId="1" applyBorder="1"/>
    <xf numFmtId="0" fontId="3" fillId="16" borderId="9" xfId="0" applyFont="1" applyFill="1" applyBorder="1"/>
    <xf numFmtId="0" fontId="3" fillId="16" borderId="10" xfId="0" applyFont="1" applyFill="1" applyBorder="1"/>
    <xf numFmtId="0" fontId="3" fillId="16" borderId="11" xfId="0" applyFont="1" applyFill="1" applyBorder="1"/>
    <xf numFmtId="0" fontId="3" fillId="10" borderId="9" xfId="8" applyFont="1" applyFill="1" applyBorder="1"/>
    <xf numFmtId="0" fontId="3" fillId="10" borderId="10" xfId="8" applyFont="1" applyFill="1" applyBorder="1"/>
    <xf numFmtId="0" fontId="3" fillId="10" borderId="11" xfId="8" applyFont="1" applyFill="1" applyBorder="1"/>
    <xf numFmtId="0" fontId="0" fillId="6" borderId="0" xfId="0" applyFont="1" applyFill="1" applyBorder="1"/>
    <xf numFmtId="0" fontId="3" fillId="5" borderId="9" xfId="4" applyFont="1" applyFill="1" applyBorder="1"/>
    <xf numFmtId="0" fontId="3" fillId="5" borderId="10" xfId="4" applyFont="1" applyFill="1" applyBorder="1"/>
    <xf numFmtId="0" fontId="3" fillId="5" borderId="11" xfId="4" applyFont="1" applyFill="1" applyBorder="1"/>
    <xf numFmtId="0" fontId="7" fillId="15" borderId="0" xfId="0" applyFont="1" applyFill="1"/>
    <xf numFmtId="0" fontId="0" fillId="0" borderId="23" xfId="0" applyBorder="1"/>
    <xf numFmtId="0" fontId="0" fillId="0" borderId="14" xfId="0" applyBorder="1" applyAlignment="1">
      <alignment horizontal="right"/>
    </xf>
    <xf numFmtId="1" fontId="13" fillId="9" borderId="6" xfId="7" applyNumberFormat="1" applyBorder="1"/>
    <xf numFmtId="169" fontId="13" fillId="9" borderId="15" xfId="7" applyNumberFormat="1" applyBorder="1"/>
    <xf numFmtId="1" fontId="21" fillId="14" borderId="6" xfId="12" applyNumberFormat="1" applyBorder="1"/>
    <xf numFmtId="0" fontId="21" fillId="14" borderId="15" xfId="12" applyBorder="1"/>
    <xf numFmtId="0" fontId="13" fillId="9" borderId="6" xfId="7" applyBorder="1"/>
    <xf numFmtId="2" fontId="13" fillId="9" borderId="15" xfId="7" applyNumberFormat="1" applyBorder="1"/>
    <xf numFmtId="1" fontId="13" fillId="9" borderId="15" xfId="7" applyNumberFormat="1" applyBorder="1"/>
    <xf numFmtId="0" fontId="0" fillId="15" borderId="0" xfId="0" applyFont="1" applyFill="1"/>
    <xf numFmtId="0" fontId="0" fillId="6" borderId="0" xfId="0" applyFont="1" applyFill="1" applyBorder="1" applyAlignment="1">
      <alignment horizontal="left" vertical="top"/>
    </xf>
    <xf numFmtId="0" fontId="1" fillId="6" borderId="0" xfId="1" applyFill="1" applyBorder="1"/>
    <xf numFmtId="0" fontId="13" fillId="9" borderId="15" xfId="7" applyBorder="1"/>
    <xf numFmtId="1" fontId="0" fillId="0" borderId="0" xfId="0" applyNumberFormat="1" applyBorder="1"/>
    <xf numFmtId="0" fontId="1" fillId="2" borderId="24" xfId="1" applyBorder="1"/>
    <xf numFmtId="0" fontId="0" fillId="6" borderId="20" xfId="0" applyFill="1" applyBorder="1" applyAlignment="1">
      <alignment horizontal="right"/>
    </xf>
    <xf numFmtId="0" fontId="1" fillId="6" borderId="20" xfId="1" applyFill="1" applyBorder="1"/>
    <xf numFmtId="169" fontId="0" fillId="0" borderId="14" xfId="0" applyNumberFormat="1" applyBorder="1"/>
    <xf numFmtId="1" fontId="0" fillId="0" borderId="14" xfId="0" applyNumberFormat="1" applyBorder="1" applyAlignment="1">
      <alignment horizontal="right"/>
    </xf>
    <xf numFmtId="1" fontId="13" fillId="9" borderId="15" xfId="7" applyNumberFormat="1" applyBorder="1" applyAlignment="1">
      <alignment horizontal="right"/>
    </xf>
    <xf numFmtId="167" fontId="0" fillId="0" borderId="0" xfId="0" applyNumberFormat="1" applyBorder="1"/>
    <xf numFmtId="173" fontId="13" fillId="9" borderId="6" xfId="7" applyNumberFormat="1" applyBorder="1"/>
    <xf numFmtId="0" fontId="0" fillId="0" borderId="0" xfId="0" applyNumberFormat="1" applyBorder="1"/>
    <xf numFmtId="0" fontId="13" fillId="9" borderId="6" xfId="7" applyNumberFormat="1" applyBorder="1"/>
    <xf numFmtId="0" fontId="13" fillId="9" borderId="15" xfId="7" applyNumberFormat="1" applyBorder="1"/>
    <xf numFmtId="0" fontId="0" fillId="6" borderId="0" xfId="0" applyFill="1" applyAlignment="1">
      <alignment horizontal="left"/>
    </xf>
    <xf numFmtId="174" fontId="13" fillId="9" borderId="6" xfId="7" applyNumberFormat="1" applyBorder="1"/>
    <xf numFmtId="175" fontId="13" fillId="9" borderId="6" xfId="7" applyNumberFormat="1" applyBorder="1"/>
    <xf numFmtId="176" fontId="13" fillId="9" borderId="6" xfId="7" applyNumberFormat="1" applyBorder="1"/>
    <xf numFmtId="0" fontId="0" fillId="0" borderId="14" xfId="0" applyNumberFormat="1" applyBorder="1"/>
    <xf numFmtId="173" fontId="0" fillId="6" borderId="0" xfId="0" applyNumberFormat="1" applyFill="1" applyAlignment="1">
      <alignment horizontal="left"/>
    </xf>
    <xf numFmtId="173" fontId="13" fillId="9" borderId="15" xfId="7" applyNumberFormat="1" applyBorder="1"/>
    <xf numFmtId="0" fontId="0" fillId="0" borderId="10" xfId="0" applyBorder="1"/>
    <xf numFmtId="0" fontId="13" fillId="9" borderId="11" xfId="7" applyBorder="1"/>
    <xf numFmtId="0" fontId="0" fillId="17" borderId="0" xfId="0" applyFill="1"/>
    <xf numFmtId="167" fontId="0" fillId="6" borderId="0" xfId="0" applyNumberFormat="1" applyFill="1" applyBorder="1"/>
    <xf numFmtId="0" fontId="3" fillId="19" borderId="0" xfId="0" applyFont="1" applyFill="1" applyBorder="1"/>
    <xf numFmtId="171" fontId="13" fillId="20" borderId="0" xfId="7" applyNumberFormat="1" applyFill="1" applyBorder="1"/>
    <xf numFmtId="1" fontId="13" fillId="20" borderId="0" xfId="7" applyNumberFormat="1" applyFill="1" applyBorder="1"/>
    <xf numFmtId="169" fontId="13" fillId="20" borderId="0" xfId="7" applyNumberFormat="1" applyFill="1" applyBorder="1"/>
    <xf numFmtId="0" fontId="0" fillId="6" borderId="0" xfId="0" applyFill="1" applyBorder="1" applyAlignment="1">
      <alignment horizontal="right"/>
    </xf>
    <xf numFmtId="0" fontId="1" fillId="20" borderId="0" xfId="1" applyFill="1" applyBorder="1"/>
    <xf numFmtId="0" fontId="7" fillId="6" borderId="0" xfId="0" applyFont="1" applyFill="1" applyBorder="1"/>
    <xf numFmtId="0" fontId="0" fillId="17" borderId="0" xfId="0" applyFill="1" applyAlignment="1">
      <alignment horizontal="left"/>
    </xf>
    <xf numFmtId="1" fontId="13" fillId="9" borderId="11" xfId="7" applyNumberFormat="1" applyBorder="1"/>
    <xf numFmtId="174" fontId="0" fillId="0" borderId="0" xfId="0" applyNumberFormat="1" applyBorder="1"/>
    <xf numFmtId="1" fontId="0" fillId="0" borderId="14" xfId="0" applyNumberFormat="1" applyBorder="1"/>
    <xf numFmtId="174" fontId="0" fillId="15" borderId="0" xfId="0" applyNumberFormat="1" applyFill="1" applyBorder="1"/>
    <xf numFmtId="0" fontId="0" fillId="0" borderId="10" xfId="0" applyNumberFormat="1" applyBorder="1"/>
    <xf numFmtId="177" fontId="13" fillId="9" borderId="6" xfId="7" applyNumberFormat="1" applyBorder="1"/>
    <xf numFmtId="0" fontId="0" fillId="17" borderId="0" xfId="0" applyFill="1" applyBorder="1"/>
    <xf numFmtId="167" fontId="13" fillId="9" borderId="6" xfId="7" applyNumberFormat="1" applyBorder="1"/>
    <xf numFmtId="2" fontId="13" fillId="9" borderId="6" xfId="7" applyNumberFormat="1" applyBorder="1"/>
    <xf numFmtId="0" fontId="0" fillId="6" borderId="0" xfId="0" applyFill="1"/>
    <xf numFmtId="0" fontId="0" fillId="6" borderId="0" xfId="0" applyFill="1" applyAlignment="1">
      <alignment horizontal="left"/>
    </xf>
    <xf numFmtId="0" fontId="3" fillId="6" borderId="0" xfId="4" applyFont="1" applyFill="1" applyAlignment="1">
      <alignment horizontal="center"/>
    </xf>
    <xf numFmtId="0" fontId="10" fillId="6" borderId="0" xfId="5" applyFill="1" applyAlignment="1">
      <alignment horizontal="left"/>
    </xf>
    <xf numFmtId="0" fontId="0" fillId="6" borderId="0" xfId="0" applyFill="1"/>
    <xf numFmtId="169" fontId="1" fillId="2" borderId="1" xfId="1" applyNumberFormat="1"/>
    <xf numFmtId="0" fontId="32" fillId="6" borderId="0" xfId="0" applyFont="1" applyFill="1"/>
    <xf numFmtId="0" fontId="24" fillId="6" borderId="0" xfId="0" applyFont="1" applyFill="1"/>
    <xf numFmtId="0" fontId="1" fillId="2" borderId="1" xfId="1" applyAlignment="1">
      <alignment horizontal="right"/>
    </xf>
    <xf numFmtId="0" fontId="0" fillId="6" borderId="25" xfId="0" applyFill="1" applyBorder="1"/>
    <xf numFmtId="169" fontId="0" fillId="6" borderId="25" xfId="0" applyNumberFormat="1" applyFill="1" applyBorder="1"/>
    <xf numFmtId="0" fontId="7" fillId="15" borderId="0" xfId="0" applyFont="1" applyFill="1" applyBorder="1" applyAlignment="1">
      <alignment horizontal="left"/>
    </xf>
    <xf numFmtId="0" fontId="0" fillId="15" borderId="0" xfId="0" applyFill="1" applyAlignment="1">
      <alignment horizontal="left"/>
    </xf>
    <xf numFmtId="0" fontId="0" fillId="6" borderId="0" xfId="0" applyFill="1" applyBorder="1" applyAlignment="1">
      <alignment horizontal="left"/>
    </xf>
    <xf numFmtId="0" fontId="0" fillId="6" borderId="0" xfId="0" applyFill="1" applyAlignment="1"/>
    <xf numFmtId="0" fontId="0" fillId="0" borderId="0" xfId="0" applyFill="1"/>
    <xf numFmtId="0" fontId="0" fillId="0" borderId="20" xfId="0" applyFill="1" applyBorder="1"/>
    <xf numFmtId="0" fontId="0" fillId="0" borderId="0" xfId="0" applyFont="1" applyFill="1"/>
    <xf numFmtId="0" fontId="0" fillId="0" borderId="20" xfId="0" applyFont="1" applyFill="1" applyBorder="1"/>
    <xf numFmtId="0" fontId="0" fillId="0" borderId="0" xfId="0" applyFill="1" applyBorder="1"/>
    <xf numFmtId="0" fontId="30" fillId="0" borderId="0" xfId="0" applyFont="1" applyFill="1"/>
    <xf numFmtId="0" fontId="30" fillId="0" borderId="20" xfId="0" applyFont="1" applyFill="1" applyBorder="1"/>
    <xf numFmtId="0" fontId="7" fillId="15" borderId="0" xfId="0" applyFont="1" applyFill="1" applyBorder="1" applyAlignment="1">
      <alignment vertical="top"/>
    </xf>
    <xf numFmtId="0" fontId="7" fillId="6" borderId="0" xfId="0" applyFont="1" applyFill="1" applyBorder="1" applyAlignment="1"/>
    <xf numFmtId="0" fontId="3" fillId="7" borderId="0" xfId="0" applyFont="1" applyFill="1" applyAlignment="1"/>
    <xf numFmtId="0" fontId="7" fillId="15" borderId="0" xfId="0" applyFont="1" applyFill="1" applyBorder="1" applyAlignment="1"/>
    <xf numFmtId="0" fontId="5" fillId="10" borderId="0" xfId="8" applyFont="1" applyAlignment="1"/>
    <xf numFmtId="0" fontId="0" fillId="15" borderId="0" xfId="0" applyFill="1" applyAlignment="1"/>
    <xf numFmtId="0" fontId="0" fillId="6" borderId="0" xfId="0" applyFill="1" applyBorder="1" applyAlignment="1"/>
    <xf numFmtId="0" fontId="0" fillId="0" borderId="0" xfId="0" applyFont="1" applyFill="1" applyBorder="1"/>
    <xf numFmtId="0" fontId="0" fillId="0" borderId="0" xfId="0" applyBorder="1" applyAlignment="1">
      <alignment horizontal="right"/>
    </xf>
    <xf numFmtId="167" fontId="0" fillId="18" borderId="0" xfId="0" applyNumberFormat="1" applyFont="1" applyFill="1" applyBorder="1"/>
    <xf numFmtId="0" fontId="7" fillId="17" borderId="0" xfId="0" applyFont="1" applyFill="1" applyBorder="1"/>
    <xf numFmtId="0" fontId="0" fillId="17" borderId="0" xfId="0" applyFont="1" applyFill="1" applyBorder="1"/>
    <xf numFmtId="0" fontId="0" fillId="18" borderId="0" xfId="0" applyFont="1" applyFill="1" applyBorder="1"/>
    <xf numFmtId="0" fontId="3" fillId="5" borderId="0" xfId="4" applyFont="1" applyBorder="1" applyAlignment="1"/>
    <xf numFmtId="0" fontId="1" fillId="2" borderId="1" xfId="1" applyBorder="1"/>
    <xf numFmtId="167" fontId="0" fillId="17" borderId="0" xfId="0" applyNumberFormat="1" applyFill="1" applyBorder="1"/>
    <xf numFmtId="0" fontId="30" fillId="0" borderId="0" xfId="0" applyFont="1" applyFill="1" applyBorder="1"/>
    <xf numFmtId="0" fontId="28" fillId="6" borderId="0" xfId="4" applyFont="1" applyFill="1" applyBorder="1" applyAlignment="1">
      <alignment horizontal="center"/>
    </xf>
    <xf numFmtId="0" fontId="0" fillId="15" borderId="0" xfId="0" applyFill="1" applyBorder="1" applyAlignment="1">
      <alignment horizontal="left"/>
    </xf>
    <xf numFmtId="0" fontId="0" fillId="6" borderId="0" xfId="0" applyFill="1" applyAlignment="1">
      <alignment horizontal="left"/>
    </xf>
    <xf numFmtId="0" fontId="3" fillId="6" borderId="0" xfId="4" applyFont="1" applyFill="1" applyAlignment="1">
      <alignment horizontal="center"/>
    </xf>
    <xf numFmtId="0" fontId="3" fillId="5" borderId="0" xfId="4" applyFont="1" applyAlignment="1">
      <alignment horizontal="left"/>
    </xf>
    <xf numFmtId="0" fontId="3" fillId="4" borderId="0" xfId="3" applyFont="1" applyAlignment="1">
      <alignment horizontal="left"/>
    </xf>
    <xf numFmtId="0" fontId="4" fillId="0" borderId="0" xfId="0" applyFont="1" applyAlignment="1">
      <alignment horizontal="left"/>
    </xf>
    <xf numFmtId="0" fontId="0" fillId="6" borderId="7" xfId="0" applyFill="1" applyBorder="1" applyAlignment="1">
      <alignment horizontal="left"/>
    </xf>
    <xf numFmtId="0" fontId="0" fillId="6" borderId="8" xfId="0" applyFill="1" applyBorder="1" applyAlignment="1">
      <alignment horizontal="left"/>
    </xf>
    <xf numFmtId="0" fontId="3" fillId="7" borderId="0" xfId="0" applyFont="1" applyFill="1" applyAlignment="1">
      <alignment horizontal="left"/>
    </xf>
    <xf numFmtId="0" fontId="3" fillId="7" borderId="6" xfId="0" applyFont="1" applyFill="1" applyBorder="1" applyAlignment="1">
      <alignment horizontal="left"/>
    </xf>
    <xf numFmtId="0" fontId="5" fillId="8" borderId="0" xfId="0" applyFont="1" applyFill="1" applyAlignment="1">
      <alignment horizontal="left"/>
    </xf>
    <xf numFmtId="0" fontId="5" fillId="8" borderId="5" xfId="0" applyFont="1" applyFill="1" applyBorder="1" applyAlignment="1">
      <alignment horizontal="left"/>
    </xf>
    <xf numFmtId="0" fontId="10" fillId="6" borderId="0" xfId="5" applyFill="1" applyAlignment="1">
      <alignment horizontal="left"/>
    </xf>
    <xf numFmtId="0" fontId="19" fillId="6" borderId="0" xfId="5" applyFont="1" applyFill="1" applyAlignment="1">
      <alignment horizontal="left"/>
    </xf>
    <xf numFmtId="0" fontId="3" fillId="5" borderId="0" xfId="4" applyFont="1" applyAlignment="1">
      <alignment horizontal="center"/>
    </xf>
    <xf numFmtId="0" fontId="3" fillId="10" borderId="0" xfId="8" applyFont="1" applyAlignment="1">
      <alignment horizontal="center"/>
    </xf>
    <xf numFmtId="0" fontId="15" fillId="0" borderId="0" xfId="0" applyFont="1" applyAlignment="1">
      <alignment horizontal="left" vertical="top" wrapText="1"/>
    </xf>
    <xf numFmtId="0" fontId="5" fillId="10" borderId="0" xfId="8" applyFont="1" applyAlignment="1">
      <alignment horizontal="center"/>
    </xf>
    <xf numFmtId="0" fontId="5" fillId="10" borderId="0" xfId="8" applyFont="1" applyAlignment="1">
      <alignment horizontal="center" vertical="center" textRotation="90" wrapText="1"/>
    </xf>
    <xf numFmtId="0" fontId="3" fillId="5" borderId="0" xfId="4" applyFont="1" applyAlignment="1">
      <alignment horizontal="center" vertical="center" textRotation="90"/>
    </xf>
    <xf numFmtId="0" fontId="3" fillId="5" borderId="0" xfId="4" applyFont="1" applyAlignment="1">
      <alignment horizontal="left" vertical="center" textRotation="90" wrapText="1"/>
    </xf>
    <xf numFmtId="0" fontId="3" fillId="5" borderId="0" xfId="4" applyFont="1" applyAlignment="1">
      <alignment horizontal="left" vertical="center" textRotation="90"/>
    </xf>
    <xf numFmtId="0" fontId="22" fillId="5" borderId="0" xfId="4" applyFont="1" applyAlignment="1">
      <alignment horizontal="center" vertical="center" textRotation="90"/>
    </xf>
    <xf numFmtId="0" fontId="6" fillId="5" borderId="0" xfId="4" applyAlignment="1">
      <alignment horizontal="center"/>
    </xf>
    <xf numFmtId="0" fontId="31" fillId="3" borderId="2" xfId="2" applyFont="1" applyAlignment="1">
      <alignment horizontal="left"/>
    </xf>
    <xf numFmtId="0" fontId="32" fillId="21" borderId="0" xfId="0" applyFont="1" applyFill="1" applyAlignment="1">
      <alignment horizontal="left"/>
    </xf>
    <xf numFmtId="0" fontId="32" fillId="22" borderId="26" xfId="0" applyFont="1" applyFill="1" applyBorder="1" applyAlignment="1">
      <alignment horizontal="left"/>
    </xf>
    <xf numFmtId="0" fontId="5" fillId="11" borderId="9" xfId="9" applyFont="1" applyBorder="1" applyAlignment="1">
      <alignment horizontal="center"/>
    </xf>
    <xf numFmtId="0" fontId="5" fillId="11" borderId="10" xfId="9" applyFont="1" applyBorder="1" applyAlignment="1">
      <alignment horizontal="center"/>
    </xf>
    <xf numFmtId="0" fontId="5" fillId="11" borderId="11" xfId="9" applyFont="1" applyBorder="1" applyAlignment="1">
      <alignment horizontal="center"/>
    </xf>
    <xf numFmtId="0" fontId="16" fillId="11" borderId="9" xfId="9" applyFont="1" applyBorder="1" applyAlignment="1">
      <alignment horizontal="center"/>
    </xf>
    <xf numFmtId="0" fontId="16" fillId="11" borderId="10" xfId="9" applyFont="1" applyBorder="1" applyAlignment="1">
      <alignment horizontal="center"/>
    </xf>
    <xf numFmtId="0" fontId="16" fillId="11" borderId="11" xfId="9" applyFont="1" applyBorder="1" applyAlignment="1">
      <alignment horizontal="center"/>
    </xf>
    <xf numFmtId="0" fontId="32" fillId="6" borderId="0" xfId="0" applyFont="1" applyFill="1" applyAlignment="1">
      <alignment horizontal="left"/>
    </xf>
  </cellXfs>
  <cellStyles count="14">
    <cellStyle name="60% - Accent2" xfId="8" builtinId="36"/>
    <cellStyle name="Accent1" xfId="3" builtinId="29"/>
    <cellStyle name="Accent2" xfId="4" builtinId="33"/>
    <cellStyle name="Accent3" xfId="9" builtinId="37"/>
    <cellStyle name="Accent5" xfId="10" builtinId="45"/>
    <cellStyle name="Accent6" xfId="11" builtinId="49"/>
    <cellStyle name="Calculation" xfId="6" builtinId="22"/>
    <cellStyle name="Explanatory Text" xfId="13" builtinId="53"/>
    <cellStyle name="Good" xfId="7" builtinId="26"/>
    <cellStyle name="Hyperlink" xfId="5" builtinId="8"/>
    <cellStyle name="Input" xfId="1" builtinId="20"/>
    <cellStyle name="Neutral" xfId="12" builtinId="28"/>
    <cellStyle name="Normal" xfId="0" builtinId="0"/>
    <cellStyle name="Output" xfId="2" builtinId="21"/>
  </cellStyles>
  <dxfs count="285">
    <dxf>
      <font>
        <color theme="5"/>
      </font>
    </dxf>
    <dxf>
      <numFmt numFmtId="0" formatCode="General"/>
      <fill>
        <patternFill patternType="solid">
          <fgColor indexed="64"/>
          <bgColor theme="0" tint="-4.9989318521683403E-2"/>
        </patternFill>
      </fill>
    </dxf>
    <dxf>
      <numFmt numFmtId="169" formatCode="0.000"/>
      <fill>
        <patternFill patternType="none">
          <fgColor indexed="64"/>
          <bgColor indexed="65"/>
        </patternFill>
      </fill>
    </dxf>
    <dxf>
      <numFmt numFmtId="169" formatCode="0.000"/>
      <fill>
        <patternFill patternType="none">
          <fgColor indexed="64"/>
          <bgColor indexed="65"/>
        </patternFill>
      </fill>
    </dxf>
    <dxf>
      <numFmt numFmtId="169" formatCode="0.000"/>
      <fill>
        <patternFill patternType="none">
          <fgColor indexed="64"/>
          <bgColor indexed="65"/>
        </patternFill>
      </fill>
    </dxf>
    <dxf>
      <numFmt numFmtId="169" formatCode="0.000"/>
      <fill>
        <patternFill patternType="none">
          <fgColor indexed="64"/>
          <bgColor indexed="65"/>
        </patternFill>
      </fill>
    </dxf>
    <dxf>
      <numFmt numFmtId="169" formatCode="0.0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9" formatCode="0.0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9" formatCode="0.0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9" formatCode="0.0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9" formatCode="0.0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9" formatCode="0.0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numFmt numFmtId="173" formatCode="0.00000000000000000"/>
      <alignment horizontal="left" vertical="bottom" textRotation="0" wrapText="0" indent="0" justifyLastLine="0" shrinkToFit="0" readingOrder="0"/>
    </dxf>
    <dxf>
      <numFmt numFmtId="173" formatCode="0.00000000000000000"/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numFmt numFmtId="172" formatCode="0.000000000000000000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8" formatCode="0.0000\ \k\J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8" formatCode="0.0000\ \k\J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0\ \k\J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0\ \k\J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numFmt numFmtId="171" formatCode="0.000000"/>
      <alignment horizontal="left" vertical="bottom" textRotation="0" wrapText="0" indent="0" justifyLastLine="0" shrinkToFit="0" readingOrder="0"/>
    </dxf>
    <dxf>
      <numFmt numFmtId="170" formatCode="0.0000000000000000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70" formatCode="0.0000000000000000"/>
      <alignment horizontal="left" vertical="bottom" textRotation="0" wrapText="0" indent="0" justifyLastLine="0" shrinkToFit="0" readingOrder="0"/>
    </dxf>
    <dxf>
      <numFmt numFmtId="170" formatCode="0.00000000000000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numFmt numFmtId="171" formatCode="0.000000"/>
      <alignment horizontal="left" vertical="bottom" textRotation="0" wrapText="0" indent="0" justifyLastLine="0" shrinkToFit="0" readingOrder="0"/>
    </dxf>
    <dxf>
      <numFmt numFmtId="170" formatCode="0.0000000000000000"/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numFmt numFmtId="170" formatCode="0.0000000000000000"/>
      <alignment horizontal="left" vertical="bottom" textRotation="0" wrapText="0" indent="0" justifyLastLine="0" shrinkToFit="0" readingOrder="0"/>
    </dxf>
    <dxf>
      <numFmt numFmtId="170" formatCode="0.00000000000000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8" formatCode="0.0000\ \k\J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8" formatCode="0.0000\ \k\J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0\ \k\J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0\ \k\J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2" formatCode="0.00000000000000000000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72" formatCode="0.000000000000000000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</dxf>
    <dxf>
      <numFmt numFmtId="0" formatCode="General"/>
    </dxf>
    <dxf>
      <numFmt numFmtId="167" formatCode="0.000000000000000000"/>
    </dxf>
    <dxf>
      <numFmt numFmtId="167" formatCode="0.000000000000000000"/>
    </dxf>
    <dxf>
      <numFmt numFmtId="167" formatCode="0.000000000000000000"/>
    </dxf>
    <dxf>
      <numFmt numFmtId="166" formatCode="0.00\ \k\J"/>
      <alignment horizontal="left" vertical="bottom" textRotation="0" wrapText="0" indent="0" justifyLastLine="0" shrinkToFit="0" readingOrder="0"/>
    </dxf>
    <dxf>
      <numFmt numFmtId="166" formatCode="0.00\ \k\J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6" formatCode="0.00\ \k\J"/>
      <alignment horizontal="left" vertical="bottom" textRotation="0" wrapText="0" indent="0" justifyLastLine="0" shrinkToFit="0" readingOrder="0"/>
    </dxf>
    <dxf>
      <numFmt numFmtId="166" formatCode="0.00\ \k\J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6" formatCode="0.00\ \k\J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5" formatCode="0.0000"/>
      <alignment horizontal="right" vertical="bottom" textRotation="0" wrapText="0" indent="0" justifyLastLine="0" shrinkToFit="0" readingOrder="0"/>
    </dxf>
    <dxf>
      <numFmt numFmtId="165" formatCode="0.0000"/>
      <alignment horizontal="right" vertical="bottom" textRotation="0" wrapText="0" indent="0" justifyLastLine="0" shrinkToFit="0" readingOrder="0"/>
    </dxf>
    <dxf>
      <numFmt numFmtId="165" formatCode="0.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Mini Drill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and Efficiency'!$H$10:$H$14</c:f>
              <c:numCache>
                <c:formatCode>General</c:formatCode>
                <c:ptCount val="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</c:numCache>
            </c:numRef>
          </c:xVal>
          <c:yVal>
            <c:numRef>
              <c:f>'Heat and Efficiency'!$I$10:$I$14</c:f>
              <c:numCache>
                <c:formatCode>General</c:formatCode>
                <c:ptCount val="5"/>
                <c:pt idx="0">
                  <c:v>0</c:v>
                </c:pt>
                <c:pt idx="1">
                  <c:v>0.1</c:v>
                </c:pt>
                <c:pt idx="2">
                  <c:v>1</c:v>
                </c:pt>
                <c:pt idx="3">
                  <c:v>0.1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0-416D-8DEB-2F21138DDE35}"/>
            </c:ext>
          </c:extLst>
        </c:ser>
        <c:ser>
          <c:idx val="1"/>
          <c:order val="1"/>
          <c:tx>
            <c:v>ISRU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'Heat and Efficiency'!$K$10:$K$14</c:f>
              <c:numCache>
                <c:formatCode>General</c:formatCode>
                <c:ptCount val="5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1250</c:v>
                </c:pt>
                <c:pt idx="4">
                  <c:v>3000</c:v>
                </c:pt>
              </c:numCache>
            </c:numRef>
          </c:xVal>
          <c:yVal>
            <c:numRef>
              <c:f>'Heat and Efficiency'!$L$10:$L$14</c:f>
              <c:numCache>
                <c:formatCode>General</c:formatCode>
                <c:ptCount val="5"/>
                <c:pt idx="0">
                  <c:v>0</c:v>
                </c:pt>
                <c:pt idx="1">
                  <c:v>0.1</c:v>
                </c:pt>
                <c:pt idx="2">
                  <c:v>1</c:v>
                </c:pt>
                <c:pt idx="3">
                  <c:v>0.1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0-416D-8DEB-2F21138DD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827680"/>
        <c:axId val="549827352"/>
      </c:scatterChart>
      <c:valAx>
        <c:axId val="54982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27352"/>
        <c:crosses val="autoZero"/>
        <c:crossBetween val="midCat"/>
      </c:valAx>
      <c:valAx>
        <c:axId val="549827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27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Mini Drill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and Efficiency'!$H$3:$H$7</c:f>
              <c:numCache>
                <c:formatCode>General</c:formatCode>
                <c:ptCount val="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</c:numCache>
            </c:numRef>
          </c:xVal>
          <c:yVal>
            <c:numRef>
              <c:f>'Heat and Efficiency'!$I$3:$I$7</c:f>
              <c:numCache>
                <c:formatCode>General</c:formatCode>
                <c:ptCount val="5"/>
                <c:pt idx="0">
                  <c:v>10000</c:v>
                </c:pt>
                <c:pt idx="1">
                  <c:v>5000</c:v>
                </c:pt>
                <c:pt idx="2">
                  <c:v>2500</c:v>
                </c:pt>
                <c:pt idx="3">
                  <c:v>250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9F-4777-B840-18755FF8F2F7}"/>
            </c:ext>
          </c:extLst>
        </c:ser>
        <c:ser>
          <c:idx val="1"/>
          <c:order val="1"/>
          <c:tx>
            <c:v>ISRU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'Heat and Efficiency'!$K$3:$K$7</c:f>
              <c:numCache>
                <c:formatCode>General</c:formatCode>
                <c:ptCount val="5"/>
                <c:pt idx="0">
                  <c:v>750</c:v>
                </c:pt>
                <c:pt idx="1">
                  <c:v>1000</c:v>
                </c:pt>
                <c:pt idx="2">
                  <c:v>1250</c:v>
                </c:pt>
                <c:pt idx="3">
                  <c:v>2000</c:v>
                </c:pt>
                <c:pt idx="4">
                  <c:v>4000</c:v>
                </c:pt>
              </c:numCache>
            </c:numRef>
          </c:xVal>
          <c:yVal>
            <c:numRef>
              <c:f>'Heat and Efficiency'!$L$3:$L$7</c:f>
              <c:numCache>
                <c:formatCode>General</c:formatCode>
                <c:ptCount val="5"/>
                <c:pt idx="0">
                  <c:v>50000</c:v>
                </c:pt>
                <c:pt idx="1">
                  <c:v>10000</c:v>
                </c:pt>
                <c:pt idx="2">
                  <c:v>500</c:v>
                </c:pt>
                <c:pt idx="3">
                  <c:v>50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9F-4777-B840-18755FF8F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828992"/>
        <c:axId val="549829320"/>
      </c:scatterChart>
      <c:valAx>
        <c:axId val="549828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29320"/>
        <c:crosses val="autoZero"/>
        <c:crossBetween val="midCat"/>
      </c:valAx>
      <c:valAx>
        <c:axId val="54982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2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205740</xdr:colOff>
      <xdr:row>0</xdr:row>
      <xdr:rowOff>182880</xdr:rowOff>
    </xdr:from>
    <xdr:to>
      <xdr:col>16</xdr:col>
      <xdr:colOff>205740</xdr:colOff>
      <xdr:row>15</xdr:row>
      <xdr:rowOff>137160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191500" y="182880"/>
          <a:ext cx="5486400" cy="297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STP</a:t>
          </a:r>
        </a:p>
        <a:p>
          <a:r>
            <a:rPr lang="en-GB" sz="1100"/>
            <a:t>Standard Temperature and Pressure</a:t>
          </a:r>
        </a:p>
        <a:p>
          <a:r>
            <a:rPr lang="en-GB" sz="1100"/>
            <a:t>273.15K (0C) and 1bar</a:t>
          </a:r>
        </a:p>
        <a:p>
          <a:endParaRPr lang="en-GB" sz="1100"/>
        </a:p>
        <a:p>
          <a:r>
            <a:rPr lang="en-GB" sz="1100"/>
            <a:t>https://en.wikipedia.org/wiki/Standard_conditions_for_temperature_and_pressure</a:t>
          </a:r>
        </a:p>
        <a:p>
          <a:endParaRPr lang="en-GB" sz="1100"/>
        </a:p>
        <a:p>
          <a:r>
            <a:rPr lang="en-GB" sz="1100" b="1"/>
            <a:t>Mole (mol)</a:t>
          </a:r>
        </a:p>
        <a:p>
          <a:r>
            <a:rPr lang="en-GB" sz="1100"/>
            <a:t>The mole is the unit of measurement for amount of substance in the International System of Units (SI). The unit is defined as the amount or sample of a chemical substance that contains as many constitutive particles, e.g., atoms, molecules, ions, electrons, or photons, as there are atoms in 12 grams of carbon-12 (12C), the isotope of carbon with standard atomic weight 12 by definition. This number is expressed by the Avogadro constant, which has a value of approximately 6.02214076×1023 mol−1. The mole is an SI base unit, with the unit symbol mol. </a:t>
          </a:r>
        </a:p>
        <a:p>
          <a:endParaRPr lang="en-GB" sz="1100"/>
        </a:p>
        <a:p>
          <a:r>
            <a:rPr lang="en-GB" sz="1100"/>
            <a:t>https://en.wikipedia.org/wiki/Mole_(unit)</a:t>
          </a:r>
        </a:p>
      </xdr:txBody>
    </xdr:sp>
    <xdr:clientData/>
  </xdr:twoCellAnchor>
  <xdr:twoCellAnchor>
    <xdr:from>
      <xdr:col>1</xdr:col>
      <xdr:colOff>0</xdr:colOff>
      <xdr:row>24</xdr:row>
      <xdr:rowOff>0</xdr:rowOff>
    </xdr:from>
    <xdr:to>
      <xdr:col>6</xdr:col>
      <xdr:colOff>0</xdr:colOff>
      <xdr:row>28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59080" y="2651760"/>
          <a:ext cx="4655820" cy="7315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There is no direct</a:t>
          </a:r>
          <a:r>
            <a:rPr lang="en-GB" sz="1100" baseline="0"/>
            <a:t> real world equivilent to the KSP unit 'Electric Charge' (EC).  Although the stock solar panel parts in game can be used to calculate a value of ~1EC = 50kJ (</a:t>
          </a:r>
          <a:r>
            <a:rPr lang="en-GB"/>
            <a:t>Kilojoules).</a:t>
          </a:r>
          <a:r>
            <a:rPr lang="en-GB" baseline="0"/>
            <a:t> However the most commonly used value with other mods is 1EC=1kJ.</a:t>
          </a:r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0</xdr:rowOff>
    </xdr:from>
    <xdr:to>
      <xdr:col>15</xdr:col>
      <xdr:colOff>0</xdr:colOff>
      <xdr:row>34</xdr:row>
      <xdr:rowOff>45720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178040" y="1508760"/>
          <a:ext cx="4267200" cy="49377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/>
            <a:t>Ideal reaction</a:t>
          </a:r>
        </a:p>
        <a:p>
          <a:r>
            <a:rPr lang="en-GB" sz="1100"/>
            <a:t>This is the</a:t>
          </a:r>
          <a:r>
            <a:rPr lang="en-GB" sz="1100" baseline="0"/>
            <a:t> theoretical values for the reaction.</a:t>
          </a:r>
        </a:p>
        <a:p>
          <a:endParaRPr lang="en-GB" sz="1100" baseline="0"/>
        </a:p>
        <a:p>
          <a:r>
            <a:rPr lang="en-GB" sz="1200" b="1" baseline="0"/>
            <a:t>Real world reaction</a:t>
          </a:r>
        </a:p>
        <a:p>
          <a:r>
            <a:rPr lang="en-GB" sz="1100" baseline="0"/>
            <a:t>Processes in the real world are not 100% efficent.  The real world reaction allows you to set how efficent the process is by adjusting the </a:t>
          </a:r>
          <a:r>
            <a:rPr lang="en-GB" sz="1100" b="1" baseline="0"/>
            <a:t>Efficency</a:t>
          </a:r>
          <a:r>
            <a:rPr lang="en-GB" sz="1100" baseline="0"/>
            <a:t> input.</a:t>
          </a:r>
          <a:endParaRPr lang="en-GB" sz="1100"/>
        </a:p>
        <a:p>
          <a:endParaRPr lang="en-GB" sz="1100"/>
        </a:p>
        <a:p>
          <a:pPr lvl="1"/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Efficency</a:t>
          </a:r>
          <a:endParaRPr lang="en-GB">
            <a:effectLst/>
          </a:endParaRPr>
        </a:p>
        <a:p>
          <a:pPr lvl="1"/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Set the efficency value to adjust how much energy is outputted as useful electrisity and how much as waste heat.  The higher the value, the more efficent the system is.</a:t>
          </a:r>
          <a:endParaRPr lang="en-GB">
            <a:effectLst/>
          </a:endParaRPr>
        </a:p>
        <a:p>
          <a:endParaRPr lang="en-GB" sz="1100"/>
        </a:p>
        <a:p>
          <a:r>
            <a:rPr lang="en-GB" sz="1200" b="1"/>
            <a:t>Throttled reaction</a:t>
          </a:r>
        </a:p>
        <a:p>
          <a:r>
            <a:rPr lang="en-GB" sz="1100" b="0"/>
            <a:t>Allows adjustment of the rate of reaction</a:t>
          </a:r>
          <a:r>
            <a:rPr lang="en-GB" sz="1100" b="0" baseline="0"/>
            <a:t> (throttle) giving values of reactors of various sizes.</a:t>
          </a:r>
          <a:endParaRPr lang="en-GB" sz="1100" b="0"/>
        </a:p>
        <a:p>
          <a:endParaRPr lang="en-GB" sz="1100"/>
        </a:p>
        <a:p>
          <a:pPr lvl="1"/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Throttle</a:t>
          </a:r>
          <a:endParaRPr lang="en-GB">
            <a:effectLst/>
          </a:endParaRPr>
        </a:p>
        <a:p>
          <a:pPr lvl="1"/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Set the throttle to adjust how fast the reaction is and so how much electrisity is generated per second.</a:t>
          </a:r>
          <a:endParaRPr lang="en-GB">
            <a:effectLst/>
          </a:endParaRPr>
        </a:p>
        <a:p>
          <a:endParaRPr lang="en-GB" sz="1100"/>
        </a:p>
        <a:p>
          <a:r>
            <a:rPr lang="en-GB" sz="1200" b="1"/>
            <a:t>Real world example</a:t>
          </a:r>
          <a:endParaRPr lang="en-GB" sz="1100" b="1"/>
        </a:p>
        <a:p>
          <a:r>
            <a:rPr lang="en-GB" sz="1100"/>
            <a:t>Apollo Fuel Cells produced a peak power of 2.3kJ and were aproximatly 55% efficent.  Setting an</a:t>
          </a:r>
          <a:r>
            <a:rPr lang="en-GB" sz="1100" baseline="0"/>
            <a:t> </a:t>
          </a:r>
          <a:r>
            <a:rPr lang="en-GB" sz="1100" b="1" baseline="0"/>
            <a:t>Efficency</a:t>
          </a:r>
          <a:r>
            <a:rPr lang="en-GB" sz="1100" baseline="0"/>
            <a:t> of </a:t>
          </a:r>
          <a:r>
            <a:rPr lang="en-GB" sz="1100" b="1" baseline="0"/>
            <a:t>55% </a:t>
          </a:r>
          <a:r>
            <a:rPr lang="en-GB" sz="1100" baseline="0"/>
            <a:t>and a </a:t>
          </a:r>
          <a:r>
            <a:rPr lang="en-GB" sz="1100" b="1" baseline="0"/>
            <a:t>Throttle</a:t>
          </a:r>
          <a:r>
            <a:rPr lang="en-GB" sz="1100" baseline="0"/>
            <a:t> of </a:t>
          </a:r>
          <a:r>
            <a:rPr lang="en-GB" sz="1100" b="1" baseline="0"/>
            <a:t>0.017635</a:t>
          </a:r>
          <a:r>
            <a:rPr lang="en-GB" sz="1100" baseline="0"/>
            <a:t> will give an aproximation of one of the Apollo fuel cells (there were three cell in the Apollo CSM).</a:t>
          </a:r>
        </a:p>
        <a:p>
          <a:r>
            <a:rPr lang="en-GB" sz="1100" baseline="0"/>
            <a:t>https://airandspace.si.edu/collection-objects/fuel-cell-apollo-4</a:t>
          </a:r>
        </a:p>
        <a:p>
          <a:endParaRPr lang="en-GB" sz="1100" baseline="0"/>
        </a:p>
        <a:p>
          <a:endParaRPr lang="en-GB" sz="1100" baseline="0"/>
        </a:p>
        <a:p>
          <a:endParaRPr lang="en-GB" sz="1100" baseline="0"/>
        </a:p>
        <a:p>
          <a:endParaRPr lang="en-GB" sz="11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251460</xdr:colOff>
      <xdr:row>0</xdr:row>
      <xdr:rowOff>175260</xdr:rowOff>
    </xdr:from>
    <xdr:to>
      <xdr:col>18</xdr:col>
      <xdr:colOff>1165860</xdr:colOff>
      <xdr:row>13</xdr:row>
      <xdr:rowOff>129540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8A9DE36-CC53-4090-BA87-977DEF576D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251460</xdr:colOff>
      <xdr:row>13</xdr:row>
      <xdr:rowOff>144780</xdr:rowOff>
    </xdr:from>
    <xdr:to>
      <xdr:col>18</xdr:col>
      <xdr:colOff>1165860</xdr:colOff>
      <xdr:row>28</xdr:row>
      <xdr:rowOff>144780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1AE8AC5-0778-4645-90DB-343AE05B36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</xdr:colOff>
      <xdr:row>7</xdr:row>
      <xdr:rowOff>66675</xdr:rowOff>
    </xdr:from>
    <xdr:to>
      <xdr:col>4</xdr:col>
      <xdr:colOff>561975</xdr:colOff>
      <xdr:row>14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6A2796-D1B7-4E7B-9D63-1E4CBB763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9575" y="1392555"/>
          <a:ext cx="2278380" cy="1394460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23</xdr:row>
      <xdr:rowOff>38100</xdr:rowOff>
    </xdr:from>
    <xdr:to>
      <xdr:col>4</xdr:col>
      <xdr:colOff>104775</xdr:colOff>
      <xdr:row>32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262022A-EBC6-48FD-8779-27806DB641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" y="4335780"/>
          <a:ext cx="1649730" cy="1645920"/>
        </a:xfrm>
        <a:prstGeom prst="rect">
          <a:avLst/>
        </a:prstGeom>
      </xdr:spPr>
    </xdr:pic>
    <xdr:clientData/>
  </xdr:twoCellAnchor>
  <xdr:twoCellAnchor editAs="oneCell">
    <xdr:from>
      <xdr:col>8</xdr:col>
      <xdr:colOff>276225</xdr:colOff>
      <xdr:row>6</xdr:row>
      <xdr:rowOff>95250</xdr:rowOff>
    </xdr:from>
    <xdr:to>
      <xdr:col>10</xdr:col>
      <xdr:colOff>400050</xdr:colOff>
      <xdr:row>14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A90AB6C-8CEA-4D88-8C0E-461FA53FE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68065" y="1238250"/>
          <a:ext cx="1533525" cy="1405890"/>
        </a:xfrm>
        <a:prstGeom prst="rect">
          <a:avLst/>
        </a:prstGeom>
      </xdr:spPr>
    </xdr:pic>
    <xdr:clientData/>
  </xdr:twoCellAnchor>
  <xdr:oneCellAnchor>
    <xdr:from>
      <xdr:col>8</xdr:col>
      <xdr:colOff>306705</xdr:colOff>
      <xdr:row>23</xdr:row>
      <xdr:rowOff>171450</xdr:rowOff>
    </xdr:from>
    <xdr:ext cx="1533525" cy="1405890"/>
    <xdr:pic>
      <xdr:nvPicPr>
        <xdr:cNvPr id="5" name="Picture 4">
          <a:extLst>
            <a:ext uri="{FF2B5EF4-FFF2-40B4-BE49-F238E27FC236}">
              <a16:creationId xmlns:a16="http://schemas.microsoft.com/office/drawing/2014/main" id="{32DA96A2-C3D3-4730-B3B7-2841CD1C6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98545" y="4469130"/>
          <a:ext cx="1533525" cy="140589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0742f116b96caaf9/PUBLIC/Kerbal%20Space%20Program/Universal%20Storage%20II/UvSii%20Balance%20Shee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cessors"/>
      <sheetName val="Fuel Cell"/>
      <sheetName val="TAC LS"/>
      <sheetName val="Change log"/>
      <sheetName val="Part Matrix"/>
      <sheetName val="Tank volume calculator"/>
      <sheetName val="Real world resource storage"/>
    </sheetNames>
    <sheetDataSet>
      <sheetData sheetId="0">
        <row r="12">
          <cell r="C12">
            <v>1</v>
          </cell>
        </row>
        <row r="13">
          <cell r="M13">
            <v>5.8040753887776363E-5</v>
          </cell>
        </row>
      </sheetData>
      <sheetData sheetId="1" refreshError="1"/>
      <sheetData sheetId="2">
        <row r="18">
          <cell r="B18">
            <v>4</v>
          </cell>
        </row>
        <row r="40">
          <cell r="B40">
            <v>2</v>
          </cell>
        </row>
        <row r="62">
          <cell r="B62">
            <v>2</v>
          </cell>
        </row>
        <row r="83">
          <cell r="B83">
            <v>2</v>
          </cell>
        </row>
        <row r="105">
          <cell r="B105">
            <v>2</v>
          </cell>
        </row>
        <row r="127">
          <cell r="B127">
            <v>1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Paul Kingtiger" id="{94C88E14-9BB7-4463-A3F3-03AC045E9D70}" userId="0742f116b96caaf9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B687F8-F43C-4AD6-9F1D-3303FD44EB6F}" name="MolecularWeightsAndMesures" displayName="MolecularWeightsAndMesures" ref="B15:G20" totalsRowShown="0">
  <autoFilter ref="B15:G20" xr:uid="{C93E9133-9AA6-4266-B690-72F0B93CBAE1}"/>
  <sortState xmlns:xlrd2="http://schemas.microsoft.com/office/spreadsheetml/2017/richdata2" ref="B16:G20">
    <sortCondition ref="B15:B20"/>
  </sortState>
  <tableColumns count="6">
    <tableColumn id="1" xr3:uid="{1AC418E6-ADAC-47B2-A70C-65C37714128B}" name="Resource"/>
    <tableColumn id="2" xr3:uid="{BAC30F9C-492C-482B-8443-BB2901ABD2A1}" name="Formula"/>
    <tableColumn id="3" xr3:uid="{57F07FCF-9118-40C9-BD40-48A5E36882A8}" name="Molecular mass"/>
    <tableColumn id="4" xr3:uid="{D1479A60-B469-47A3-8EDE-0565B22783C5}" name="Density at STP" dataDxfId="284"/>
    <tableColumn id="5" xr3:uid="{B3B8B8C9-201E-4CB7-828A-8A9FC3B6423A}" name="Moles in 1L" dataDxfId="283">
      <calculatedColumnFormula>E16/D16</calculatedColumnFormula>
    </tableColumn>
    <tableColumn id="6" xr3:uid="{5728733C-61D1-4241-ABEE-B44216B0AE9D}" name="Litres in 1 mol" dataDxfId="282">
      <calculatedColumnFormula>1/F16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EE7578C-91FB-4042-9159-944241671D64}" name="ResourceStorageAndCompression" displayName="ResourceStorageAndCompression" ref="B32:G37" totalsRowShown="0" headerRowCellStyle="Normal" dataCellStyle="Normal">
  <autoFilter ref="B32:G37" xr:uid="{EF6E82F3-ED51-4E0E-A51E-B4A775BC8E4C}"/>
  <tableColumns count="6">
    <tableColumn id="1" xr3:uid="{D72AF16D-48D7-4463-B447-6E5EB825496A}" name="Resource" dataCellStyle="Normal"/>
    <tableColumn id="2" xr3:uid="{FD213A88-4E20-4066-B94B-3257C7FB912B}" name="Use Phase" dataCellStyle="Normal"/>
    <tableColumn id="3" xr3:uid="{CC88CF9A-B415-4201-95E1-3E37681C4B5A}" name="Store Phase" dataCellStyle="Normal"/>
    <tableColumn id="4" xr3:uid="{6F1F7E00-6940-4825-AB9E-3A2ED758B687}" name="Compression" dataCellStyle="Normal"/>
    <tableColumn id="5" xr3:uid="{B745868F-EAC7-450F-88E3-7E2C5E07507A}" name="Kj to Compress 1L" dataCellStyle="Normal"/>
    <tableColumn id="6" xr3:uid="{5F3C81E8-C42D-4DC9-AED4-40D65396C3D3}" name="EC to compress 1L" dataCellStyle="Normal">
      <calculatedColumnFormula>ResourceStorageAndCompression[[#This Row],[Kj to Compress 1L]]*PowerFactor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1ED03966-FB50-4FEC-B0EC-8343E9C29813}" name="StructureType" displayName="StructureType" ref="B41:B44" totalsRowShown="0" headerRowCellStyle="Normal" dataCellStyle="Normal">
  <autoFilter ref="B41:B44" xr:uid="{889CEB4C-0240-4DBE-A442-E6C544A43AE0}"/>
  <tableColumns count="1">
    <tableColumn id="1" xr3:uid="{296637DB-F5A9-4943-BFC9-7ED837198C8B}" name="Structure Type" dataCellStyle="Normal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C90EDECA-C608-41C8-B386-A1A09F1D0B2D}" name="Table189" displayName="Table189" ref="B47:C147" totalsRowShown="0" headerRowCellStyle="Normal" dataCellStyle="Normal">
  <autoFilter ref="B47:C147" xr:uid="{976343DB-419E-4EED-8232-7A7CEF8DF398}"/>
  <tableColumns count="2">
    <tableColumn id="1" xr3:uid="{B10CC0A4-7BB0-41CD-8E72-F899B107F850}" name="Liquid Fuel" dataCellStyle="Normal"/>
    <tableColumn id="2" xr3:uid="{56E18F74-4BA1-46C0-BFBD-EE720BD867D7}" name="Oxydizer" dataCellStyle="Normal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AB8F8B-914E-433D-BA7B-D0577ABEAA0B}" name="FuelCell_Ideal" displayName="FuelCell_Ideal" ref="B6:G8" totalsRowShown="0" headerRowDxfId="281" dataDxfId="280">
  <autoFilter ref="B6:G8" xr:uid="{4E18DBC8-B636-4291-8EBF-A0AC05316C4B}"/>
  <tableColumns count="6">
    <tableColumn id="1" xr3:uid="{980AF9C6-3CCC-406E-9DEF-328406BD55F9}" name="Units" dataDxfId="279"/>
    <tableColumn id="2" xr3:uid="{0313E5F5-3503-4E46-83A7-6066042A59E3}" name="H2" dataDxfId="278">
      <calculatedColumnFormula>INDEX(MolecularWeightsAndMesures[Litres in 1 mol],MATCH('Fuel Cell'!C5,MolecularWeightsAndMesures[Formula],0))*'Fuel Cell'!C6</calculatedColumnFormula>
    </tableColumn>
    <tableColumn id="3" xr3:uid="{851C8FE6-C7AC-44B6-AF56-FAF3068F5B0C}" name="O2" dataDxfId="277">
      <calculatedColumnFormula>INDEX(MolecularWeightsAndMesures[Litres in 1 mol],MATCH('Fuel Cell'!D5,MolecularWeightsAndMesures[Formula],0))*'Fuel Cell'!D6</calculatedColumnFormula>
    </tableColumn>
    <tableColumn id="4" xr3:uid="{E18447B2-A43D-4550-88C9-42FC6D0A239F}" name="H2O" dataDxfId="276">
      <calculatedColumnFormula>INDEX(MolecularWeightsAndMesures[Litres in 1 mol],MATCH('Fuel Cell'!E5,MolecularWeightsAndMesures[Formula],0))*'Fuel Cell'!E6</calculatedColumnFormula>
    </tableColumn>
    <tableColumn id="5" xr3:uid="{2D544E56-BF9A-413C-8FEB-FE13E80EF807}" name="Electricity" dataDxfId="275"/>
    <tableColumn id="6" xr3:uid="{DF70A50F-2CD0-4FE3-9298-0824C91940B6}" name="Column1" dataDxfId="274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A013EA6-9A01-48F0-9A12-C462E5BCA840}" name="FuelCell_RealWorld" displayName="FuelCell_RealWorld" ref="B14:G16" totalsRowShown="0" headerRowDxfId="273" dataDxfId="272">
  <autoFilter ref="B14:G16" xr:uid="{68A14F86-C8F4-4C28-AEA2-5300BD8D7310}"/>
  <tableColumns count="6">
    <tableColumn id="1" xr3:uid="{4184EE47-F498-4293-9B7C-93B6E23BE53E}" name="Units" dataDxfId="271"/>
    <tableColumn id="2" xr3:uid="{1880D7C1-67E9-4FBE-8E4F-F236F221B105}" name="H2" dataDxfId="270">
      <calculatedColumnFormula>INDEX(MolecularWeightsAndMesures[Litres in 1 mol],MATCH('Fuel Cell'!C13,MolecularWeightsAndMesures[Formula],0))*'Fuel Cell'!C14</calculatedColumnFormula>
    </tableColumn>
    <tableColumn id="3" xr3:uid="{398A5BD8-6757-48B6-8A8C-35AC7F7664CA}" name="O2" dataDxfId="269">
      <calculatedColumnFormula>INDEX(MolecularWeightsAndMesures[Litres in 1 mol],MATCH('Fuel Cell'!D13,MolecularWeightsAndMesures[Formula],0))*'Fuel Cell'!D14</calculatedColumnFormula>
    </tableColumn>
    <tableColumn id="4" xr3:uid="{DB70D6A8-2B94-4E17-883A-7BCD7B4B42D9}" name="H2O" dataDxfId="268">
      <calculatedColumnFormula>INDEX(MolecularWeightsAndMesures[Litres in 1 mol],MATCH('Fuel Cell'!E13,MolecularWeightsAndMesures[Formula],0))*'Fuel Cell'!E14</calculatedColumnFormula>
    </tableColumn>
    <tableColumn id="5" xr3:uid="{F2AB5F98-B8F2-4CD8-AF84-EEE45F25C7B4}" name="Electricity" dataDxfId="267"/>
    <tableColumn id="6" xr3:uid="{407ED309-3C80-4BFC-A105-D608C6E58728}" name="Heat" dataDxfId="266">
      <calculatedColumnFormula>F7-FuelCell_RealWorld[[#This Row],[Electricity]]</calculatedColumnFormula>
    </tableColumn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448FEB-AF3E-4FAF-925C-68FA2932F368}" name="FuelCell_Throttled" displayName="FuelCell_Throttled" ref="B22:G24" totalsRowShown="0" headerRowDxfId="265" dataDxfId="264">
  <autoFilter ref="B22:G24" xr:uid="{A0B7E5C6-8C43-4B85-BC74-DB8D8EDEE060}"/>
  <tableColumns count="6">
    <tableColumn id="1" xr3:uid="{91CB45EB-0FF6-4F9D-905D-7E996E8FD879}" name="Units" dataDxfId="263"/>
    <tableColumn id="2" xr3:uid="{6ED4322F-EED8-420E-8B61-4EB07203B415}" name="H2" dataDxfId="262">
      <calculatedColumnFormula>C7*FuelCell_Throttle</calculatedColumnFormula>
    </tableColumn>
    <tableColumn id="3" xr3:uid="{18256C40-8476-4B3D-B60D-104F28F3897C}" name="O2" dataDxfId="261">
      <calculatedColumnFormula>D7*FuelCell_Throttle</calculatedColumnFormula>
    </tableColumn>
    <tableColumn id="4" xr3:uid="{FC92665E-8480-4528-AE1A-1CDE726C0105}" name="H2O" dataDxfId="260">
      <calculatedColumnFormula>E7*FuelCell_Throttle</calculatedColumnFormula>
    </tableColumn>
    <tableColumn id="5" xr3:uid="{4A005D07-D0D4-4247-9CD0-E9DC556FAF8C}" name="Electricity" dataDxfId="259"/>
    <tableColumn id="6" xr3:uid="{25248EF6-27A8-41A2-AF70-21F7F94D3BC3}" name="Heat" dataDxfId="258">
      <calculatedColumnFormula>F15-FuelCell_Throttled[[#This Row],[Electricity]]</calculatedColumnFormula>
    </tableColumn>
  </tableColumns>
  <tableStyleInfo name="TableStyleMedium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3B3F1A-0E39-446F-9CB5-DCC20C39F8B9}" name="FuelCell_KSP" displayName="FuelCell_KSP" ref="C29:G30" totalsRowShown="0" dataCellStyle="Output">
  <autoFilter ref="C29:G30" xr:uid="{00422325-4033-4636-BFEF-86DBB6FE403C}"/>
  <tableColumns count="5">
    <tableColumn id="1" xr3:uid="{440B1C6A-1A33-4CB0-A8CE-26652A8C4AB7}" name="Hydrogen" dataDxfId="257" dataCellStyle="Output">
      <calculatedColumnFormula>C24</calculatedColumnFormula>
    </tableColumn>
    <tableColumn id="2" xr3:uid="{08B5385B-3495-4D2D-97F4-C9122918DEB2}" name="Oxygen" dataDxfId="256" dataCellStyle="Output">
      <calculatedColumnFormula>D24</calculatedColumnFormula>
    </tableColumn>
    <tableColumn id="3" xr3:uid="{894988C4-0733-410E-A949-F2DAA03846E0}" name="Water" dataDxfId="255" dataCellStyle="Output">
      <calculatedColumnFormula>E24</calculatedColumnFormula>
    </tableColumn>
    <tableColumn id="4" xr3:uid="{88622D3C-36AD-4FB5-8E55-71ADB66E5C4E}" name="EC" dataDxfId="254" dataCellStyle="Output">
      <calculatedColumnFormula>F24</calculatedColumnFormula>
    </tableColumn>
    <tableColumn id="5" xr3:uid="{C4283753-ABBE-4062-B530-9BE3C56D6459}" name="Heat flux" dataDxfId="253" dataCellStyle="Output">
      <calculatedColumnFormula>G23*50</calculatedColumnFormula>
    </tableColumn>
  </tableColumns>
  <tableStyleInfo name="TableStyleMedium1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536F184-F4B0-40CB-9793-0EB80D6259EF}" name="Table27" displayName="Table27" ref="I18:L25" totalsRowShown="0" headerRowDxfId="252" dataDxfId="251">
  <autoFilter ref="I18:L25" xr:uid="{F1F0725E-A848-4F7E-A7AD-AD72700EF239}"/>
  <tableColumns count="4">
    <tableColumn id="1" xr3:uid="{55A02534-9CAE-4DF2-B8E1-CB1CE6042CB1}" name="Resource" dataDxfId="250"/>
    <tableColumn id="2" xr3:uid="{18E008E9-AB07-46D1-AE4A-EC19FBE89A9E}" name="Amount" dataDxfId="249"/>
    <tableColumn id="3" xr3:uid="{2EA51437-B788-4A90-918E-A520C307A0EB}" name="Daily (6H)" dataDxfId="248">
      <calculatedColumnFormula>Table27[[#This Row],[Amount]]*21600</calculatedColumnFormula>
    </tableColumn>
    <tableColumn id="4" xr3:uid="{D173B934-B467-4C50-A851-859443C2AA32}" name="Daily (24H)" dataDxfId="247">
      <calculatedColumnFormula>Table27[[#This Row],[Daily (6H)]]*4</calculatedColumnFormula>
    </tableColumn>
  </tableColumns>
  <tableStyleInfo name="TableStyleMedium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584CF53C-310A-41EF-93AC-C4122C6B10D9}" name="Table39" displayName="Table39" ref="I32:L36" totalsRowShown="0">
  <autoFilter ref="I32:L36" xr:uid="{AF8CCA5E-6095-46B8-A399-FEA35C64639B}"/>
  <tableColumns count="4">
    <tableColumn id="1" xr3:uid="{8FF83015-5CDE-4162-80A8-EF37FE596365}" name="Resource"/>
    <tableColumn id="2" xr3:uid="{834615FF-19F6-493C-A025-20563AB691B8}" name="Amount"/>
    <tableColumn id="3" xr3:uid="{9C245F8D-C62E-48A0-B289-FE3EB8D02C8F}" name="Daily (6H)"/>
    <tableColumn id="4" xr3:uid="{B0E08FBD-010A-4920-B8AD-CDB16FD5FDC0}" name="Daily (24H)"/>
  </tableColumns>
  <tableStyleInfo name="TableStyleMedium2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80FC976-58CC-41FB-A581-2F3EF4C92E29}" name="Table40" displayName="Table40" ref="N32:Q36" totalsRowShown="0" headerRowCellStyle="Normal" dataCellStyle="Normal">
  <autoFilter ref="N32:Q36" xr:uid="{8397C92F-AC91-4615-9954-950D648F8ADC}"/>
  <tableColumns count="4">
    <tableColumn id="1" xr3:uid="{89E3503A-5C50-4E9C-9D1B-5EE3035710E7}" name="Resource" dataCellStyle="Normal"/>
    <tableColumn id="2" xr3:uid="{413801B7-F4AC-4C1B-8A80-90008977FB4E}" name="Amount" dataDxfId="246" dataCellStyle="Normal">
      <calculatedColumnFormula>J25*6</calculatedColumnFormula>
    </tableColumn>
    <tableColumn id="3" xr3:uid="{9BB7B292-958F-4FBC-AEB1-B5DF6DC95ADA}" name="Daily (6H)" dataCellStyle="Normal"/>
    <tableColumn id="4" xr3:uid="{FE6F22C1-038B-469B-885D-A6AFFB13887D}" name="Daily (24H)" dataCellStyle="Normal"/>
  </tableColumns>
  <tableStyleInfo name="TableStyleMedium2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ECBEB9D-C7E3-4797-9536-7BFE3CD2A5DF}" name="Table43" displayName="Table43" ref="I42:L46" totalsRowShown="0">
  <autoFilter ref="I42:L46" xr:uid="{3A1B667F-5F4C-4130-B6EB-53CC6171DA76}"/>
  <tableColumns count="4">
    <tableColumn id="1" xr3:uid="{CB92A920-5CB9-4032-8560-E36C561EBCEF}" name="Resource"/>
    <tableColumn id="2" xr3:uid="{AC01DD04-2DF6-4666-9928-928C20D0B83D}" name="Amount"/>
    <tableColumn id="3" xr3:uid="{7DCBB309-26E0-45A8-87D7-BE9E20F64D5A}" name="Daily (6H)"/>
    <tableColumn id="4" xr3:uid="{B238AE23-AF21-4535-9790-359A81E31471}" name="Daily (24H)"/>
  </tableColumns>
  <tableStyleInfo name="TableStyleMedium2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9446777-72F7-4F1E-91E5-C75909A6E5ED}" name="Sabatier_Ideal" displayName="Sabatier_Ideal" ref="B6:G8" totalsRowShown="0" headerRowDxfId="245" dataDxfId="244" headerRowCellStyle="Normal" dataCellStyle="Normal">
  <autoFilter ref="B6:G8" xr:uid="{17191631-B45E-4D64-A135-29EC2A98F7F6}"/>
  <tableColumns count="6">
    <tableColumn id="1" xr3:uid="{BDF0CF0C-6139-4140-9E29-3F9C0880BD57}" name="Units" dataDxfId="243" dataCellStyle="Normal"/>
    <tableColumn id="2" xr3:uid="{595C98D2-23B0-4428-BCE9-9173811313C9}" name="CO2" dataDxfId="242" dataCellStyle="Normal">
      <calculatedColumnFormula>INDEX(MolecularWeightsAndMesures[Litres in 1 mol],MATCH(Sabatier!C5,MolecularWeightsAndMesures[Formula],0))*Sabatier!C6</calculatedColumnFormula>
    </tableColumn>
    <tableColumn id="3" xr3:uid="{0C921E5F-22A4-4C23-A3D3-49928B7B60E3}" name="H2" dataDxfId="241" dataCellStyle="Normal">
      <calculatedColumnFormula>INDEX(MolecularWeightsAndMesures[Litres in 1 mol],MATCH(Sabatier!D5,MolecularWeightsAndMesures[Formula],0))*Sabatier!D6</calculatedColumnFormula>
    </tableColumn>
    <tableColumn id="4" xr3:uid="{BFCB33C6-F28D-4E73-A014-3ADF59C6450F}" name="Electricity" dataDxfId="240" dataCellStyle="Normal"/>
    <tableColumn id="5" xr3:uid="{BB7C9311-61BB-4C7D-BFB8-D6DEF27079F2}" name="CH4" dataDxfId="239" dataCellStyle="Normal">
      <calculatedColumnFormula>INDEX(MolecularWeightsAndMesures[Litres in 1 mol],MATCH(Sabatier!F5,MolecularWeightsAndMesures[Formula],0))*Sabatier!F6</calculatedColumnFormula>
    </tableColumn>
    <tableColumn id="6" xr3:uid="{19AF9318-0A02-4017-A9A4-83914DE1178D}" name="H2O" dataDxfId="238" dataCellStyle="Normal">
      <calculatedColumnFormula>INDEX(MolecularWeightsAndMesures[Litres in 1 mol],MATCH(Sabatier!G5,MolecularWeightsAndMesures[Formula],0))*Sabatier!G6</calculatedColumnFormula>
    </tableColumn>
  </tableColumns>
  <tableStyleInfo name="TableStyleMedium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4CD0F7-857E-43EF-AA46-0A55189F7D76}" name="Sabatier_RealWorld" displayName="Sabatier_RealWorld" ref="B13:H15" totalsRowShown="0" headerRowDxfId="237" dataDxfId="236" headerRowCellStyle="Normal" dataCellStyle="Normal">
  <autoFilter ref="B13:H15" xr:uid="{6ED94441-97C2-465C-B77F-D74E522EF3C3}"/>
  <tableColumns count="7">
    <tableColumn id="1" xr3:uid="{9D9DA9AE-49F6-4C7C-9555-10D6B05C1D55}" name="Units" dataDxfId="235" dataCellStyle="Normal"/>
    <tableColumn id="2" xr3:uid="{C37656B5-8EB4-4915-9FDC-D72A54E053EC}" name="CO2" dataDxfId="234" dataCellStyle="Normal">
      <calculatedColumnFormula>INDEX(MolecularWeightsAndMesures[Litres in 1 mol],MATCH(Sabatier!C12,MolecularWeightsAndMesures[Formula],0))*Sabatier!C13</calculatedColumnFormula>
    </tableColumn>
    <tableColumn id="3" xr3:uid="{0D302B34-3E1D-4D23-8844-FA77A20B6C6A}" name="H2" dataDxfId="233" dataCellStyle="Normal">
      <calculatedColumnFormula>INDEX(MolecularWeightsAndMesures[Litres in 1 mol],MATCH(Sabatier!D12,MolecularWeightsAndMesures[Formula],0))*Sabatier!D13</calculatedColumnFormula>
    </tableColumn>
    <tableColumn id="4" xr3:uid="{779B28C2-A88B-44C6-94B5-A98BA05D5E4F}" name="Electricity" dataDxfId="232" dataCellStyle="Normal">
      <calculatedColumnFormula>E7/Sabatier_Efficency</calculatedColumnFormula>
    </tableColumn>
    <tableColumn id="5" xr3:uid="{5ACF52FC-C8D4-4FDB-B371-1BD0C386CD2E}" name="CH4" dataDxfId="231" dataCellStyle="Normal">
      <calculatedColumnFormula>INDEX(MolecularWeightsAndMesures[Litres in 1 mol],MATCH(Sabatier!F12,MolecularWeightsAndMesures[Formula],0))*Sabatier!F13</calculatedColumnFormula>
    </tableColumn>
    <tableColumn id="6" xr3:uid="{B8D1A5A7-C08B-495C-A5DE-897F9E33EC94}" name="H2O" dataDxfId="230" dataCellStyle="Normal">
      <calculatedColumnFormula>INDEX(MolecularWeightsAndMesures[Litres in 1 mol],MATCH(Sabatier!G12,MolecularWeightsAndMesures[Formula],0))*Sabatier!G13</calculatedColumnFormula>
    </tableColumn>
    <tableColumn id="7" xr3:uid="{66BF9922-5113-4B2F-A696-D25CA652193A}" name="Heat" dataDxfId="229" dataCellStyle="Normal">
      <calculatedColumnFormula>Sabatier_RealWorld[[#This Row],[Electricity]]-E7</calculatedColumnFormula>
    </tableColumn>
  </tableColumns>
  <tableStyleInfo name="TableStyleMedium1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457515-009B-4CE1-AD29-9B1EDDE35C65}" name="Sabatier_RealWorld11" displayName="Sabatier_RealWorld11" ref="B20:H22" totalsRowShown="0" headerRowDxfId="228" dataDxfId="227" headerRowCellStyle="Normal" dataCellStyle="Normal">
  <autoFilter ref="B20:H22" xr:uid="{51C5A901-1056-41EA-BFF7-94D85DFF5681}"/>
  <tableColumns count="7">
    <tableColumn id="1" xr3:uid="{9E7E7715-B6F5-476D-84A7-E5F67A85EDB6}" name="Units" dataDxfId="226" dataCellStyle="Normal"/>
    <tableColumn id="2" xr3:uid="{C0F7DF52-400D-4841-94DD-3A7143FDCE15}" name="CO2" dataDxfId="225" dataCellStyle="Normal">
      <calculatedColumnFormula>C14*Sabatier_Throttle</calculatedColumnFormula>
    </tableColumn>
    <tableColumn id="3" xr3:uid="{F76C61E9-0898-4387-9958-7B1D5D79163C}" name="H2" dataDxfId="224" dataCellStyle="Normal">
      <calculatedColumnFormula>D14*Sabatier_Throttle</calculatedColumnFormula>
    </tableColumn>
    <tableColumn id="4" xr3:uid="{B220183F-2B58-49F8-8326-7BE77A676BAF}" name="Electricity" dataDxfId="223" dataCellStyle="Normal"/>
    <tableColumn id="5" xr3:uid="{3C303109-65E7-420F-A941-3CC93B4CEEA8}" name="CH4" dataDxfId="222" dataCellStyle="Normal">
      <calculatedColumnFormula>F14*Sabatier_Throttle</calculatedColumnFormula>
    </tableColumn>
    <tableColumn id="6" xr3:uid="{CF1FB5DA-0B97-43CC-A233-7546DB6FECB5}" name="H2O" dataDxfId="221" dataCellStyle="Normal">
      <calculatedColumnFormula>G14*Sabatier_Throttle</calculatedColumnFormula>
    </tableColumn>
    <tableColumn id="7" xr3:uid="{043A27B7-7570-4D04-88B0-93916951481F}" name="Heat" dataDxfId="220" dataCellStyle="Normal">
      <calculatedColumnFormula>Sabatier_RealWorld11[[#This Row],[Electricity]]-E13</calculatedColumnFormula>
    </tableColumn>
  </tableColumns>
  <tableStyleInfo name="TableStyleMedium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6936F15-83DD-4E2D-B612-CD48F0D570A4}" name="Sabatier_KSP" displayName="Sabatier_KSP" ref="C26:H27" totalsRowShown="0" headerRowDxfId="219" dataDxfId="218" dataCellStyle="Output">
  <autoFilter ref="C26:H27" xr:uid="{2BCF6B63-DAB2-4436-AA1E-A0F68FA0E75D}"/>
  <tableColumns count="6">
    <tableColumn id="1" xr3:uid="{F5A034A9-3125-456E-9F0C-8A22E5337F38}" name="CarbonDioxide" dataDxfId="217" dataCellStyle="Output">
      <calculatedColumnFormula>C22</calculatedColumnFormula>
    </tableColumn>
    <tableColumn id="2" xr3:uid="{9BAD00CB-467E-4564-8EE6-44670AEBB07A}" name="Hydrogen" dataDxfId="216" dataCellStyle="Output">
      <calculatedColumnFormula>D22</calculatedColumnFormula>
    </tableColumn>
    <tableColumn id="3" xr3:uid="{CB65C8C6-0178-4194-A570-DA203C3A6C14}" name="EC" dataDxfId="215" dataCellStyle="Output">
      <calculatedColumnFormula>E22</calculatedColumnFormula>
    </tableColumn>
    <tableColumn id="4" xr3:uid="{CB806FAA-DB5B-423F-AF3F-D5FF9D6EF51E}" name="Methane" dataDxfId="214" dataCellStyle="Output">
      <calculatedColumnFormula>F22</calculatedColumnFormula>
    </tableColumn>
    <tableColumn id="5" xr3:uid="{F2228DA6-DC18-4E7E-BFB2-B3B1124BD687}" name="Water" dataDxfId="213" dataCellStyle="Output">
      <calculatedColumnFormula>G22</calculatedColumnFormula>
    </tableColumn>
    <tableColumn id="6" xr3:uid="{92D484C0-DF59-4A18-BE59-538E18606C26}" name="Heat flux" dataDxfId="212" dataCellStyle="Output">
      <calculatedColumnFormula>H22*50</calculatedColumnFormula>
    </tableColumn>
  </tableColumns>
  <tableStyleInfo name="TableStyleMedium1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4E8FF48F-8E06-4014-BFEA-7FA83AE1C29F}" name="Sabatier_KSP96" displayName="Sabatier_KSP96" ref="C31:H32" totalsRowShown="0" headerRowDxfId="211" dataDxfId="210" dataCellStyle="Output">
  <autoFilter ref="C31:H32" xr:uid="{A5C91ECA-1801-4FEE-9358-7F8407536A50}"/>
  <tableColumns count="6">
    <tableColumn id="1" xr3:uid="{84049A38-3643-4268-BA0F-61409693705A}" name="CarbonDioxide" dataDxfId="209" dataCellStyle="Input"/>
    <tableColumn id="2" xr3:uid="{C85F5AE1-46D1-4D8E-8556-B864812BF038}" name="Hydrogen" dataDxfId="208" dataCellStyle="Output">
      <calculatedColumnFormula>Sabatier_KSP96[[#This Row],[CarbonDioxide]]*D7</calculatedColumnFormula>
    </tableColumn>
    <tableColumn id="3" xr3:uid="{8C821743-CC23-447A-A153-8CF36B52B65F}" name="EC" dataDxfId="207" dataCellStyle="Output">
      <calculatedColumnFormula>Sabatier_KSP96[[#This Row],[CarbonDioxide]]*E7/Sabatier_Efficency</calculatedColumnFormula>
    </tableColumn>
    <tableColumn id="4" xr3:uid="{6351E569-2382-4555-92A9-30706D0E4050}" name="Methane" dataDxfId="206" dataCellStyle="Output">
      <calculatedColumnFormula>Sabatier_KSP96[[#This Row],[CarbonDioxide]]*F7</calculatedColumnFormula>
    </tableColumn>
    <tableColumn id="5" xr3:uid="{5093A6B7-6B60-4F0E-BF15-77A878604154}" name="Water" dataDxfId="205" dataCellStyle="Output">
      <calculatedColumnFormula>Sabatier_KSP96[[#This Row],[CarbonDioxide]]*G7</calculatedColumnFormula>
    </tableColumn>
    <tableColumn id="6" xr3:uid="{BBBA1FBB-F6C1-44D1-AA71-5E2F21075672}" name="Heat flux" dataDxfId="204" dataCellStyle="Output">
      <calculatedColumnFormula>((Sabatier_KSP96[[#This Row],[CarbonDioxide]]*E7/Sabatier_Efficency)-Sabatier_KSP96[[#This Row],[CarbonDioxide]]*E7)*50</calculatedColumnFormula>
    </tableColumn>
  </tableColumns>
  <tableStyleInfo name="TableStyleMedium1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F2A226B-CD62-4D11-876B-E786D7C84722}" name="Sabatier_Ideal13" displayName="Sabatier_Ideal13" ref="B6:F8" totalsRowShown="0" headerRowDxfId="203" dataDxfId="202" headerRowCellStyle="Normal" dataCellStyle="Normal">
  <autoFilter ref="B6:F8" xr:uid="{17191631-B45E-4D64-A135-29EC2A98F7F6}"/>
  <tableColumns count="5">
    <tableColumn id="1" xr3:uid="{86D8D537-EA24-4CDB-A9B3-9C705050FD93}" name="Units" dataDxfId="201" dataCellStyle="Normal"/>
    <tableColumn id="2" xr3:uid="{FF998515-860A-4572-B67D-0FF1115115AE}" name="H2O" dataDxfId="200" dataCellStyle="Normal">
      <calculatedColumnFormula>INDEX(MolecularWeightsAndMesures[Litres in 1 mol],MATCH(Elektron!C5,MolecularWeightsAndMesures[Formula],0))*Elektron!C6</calculatedColumnFormula>
    </tableColumn>
    <tableColumn id="4" xr3:uid="{BF7A5ADF-D2B8-4B22-B832-490945782CF9}" name="Electricity" dataDxfId="199" dataCellStyle="Normal"/>
    <tableColumn id="5" xr3:uid="{AC8D69DE-E86E-4BD8-8647-3C36F7F3F77D}" name="H2" dataDxfId="198" dataCellStyle="Normal">
      <calculatedColumnFormula>INDEX(MolecularWeightsAndMesures[Litres in 1 mol],MATCH(Elektron!F5,MolecularWeightsAndMesures[Formula],0))*Elektron!E6</calculatedColumnFormula>
    </tableColumn>
    <tableColumn id="6" xr3:uid="{6DE4A8E8-CD75-420F-AE7D-E48A1C8A2B4A}" name="O2" dataDxfId="197" dataCellStyle="Normal">
      <calculatedColumnFormula>INDEX(MolecularWeightsAndMesures[Litres in 1 mol],MATCH(Elektron!G5,MolecularWeightsAndMesures[Formula],0))*Elektron!F6</calculatedColumnFormula>
    </tableColumn>
  </tableColumns>
  <tableStyleInfo name="TableStyleMedium1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B72CD8F-D05C-4C09-AAA5-A5DEAE571684}" name="Sabatier_RealWorld15" displayName="Sabatier_RealWorld15" ref="B13:G15" totalsRowShown="0" headerRowDxfId="196" dataDxfId="195" headerRowCellStyle="Normal" dataCellStyle="Normal">
  <autoFilter ref="B13:G15" xr:uid="{6ED94441-97C2-465C-B77F-D74E522EF3C3}"/>
  <tableColumns count="6">
    <tableColumn id="1" xr3:uid="{0585880B-B383-49AE-BB12-F05A7FDA3D12}" name="Units" dataDxfId="194" dataCellStyle="Normal"/>
    <tableColumn id="2" xr3:uid="{FC92ABDC-9C56-4D8A-A9C3-6B14C259CD22}" name="H2O" dataDxfId="193" dataCellStyle="Normal">
      <calculatedColumnFormula>INDEX(MolecularWeightsAndMesures[Litres in 1 mol],MATCH(Elektron!C12,MolecularWeightsAndMesures[Formula],0))*Elektron!C13</calculatedColumnFormula>
    </tableColumn>
    <tableColumn id="4" xr3:uid="{14B21DD6-26F9-4991-B5FB-1CB083139E87}" name="Electricity" dataDxfId="192" dataCellStyle="Normal">
      <calculatedColumnFormula>D7/Sabatier_Efficency</calculatedColumnFormula>
    </tableColumn>
    <tableColumn id="5" xr3:uid="{64F06D43-78D4-4861-A403-4B96D3965E62}" name="H2" dataDxfId="191" dataCellStyle="Normal">
      <calculatedColumnFormula>INDEX(MolecularWeightsAndMesures[Litres in 1 mol],MATCH(Elektron!F12,MolecularWeightsAndMesures[Formula],0))*Elektron!E13</calculatedColumnFormula>
    </tableColumn>
    <tableColumn id="6" xr3:uid="{0457241B-F68F-4CB2-AFA6-81DD71871C1C}" name="O2" dataDxfId="190" dataCellStyle="Normal">
      <calculatedColumnFormula>INDEX(MolecularWeightsAndMesures[Litres in 1 mol],MATCH(Elektron!G12,MolecularWeightsAndMesures[Formula],0))*Elektron!F13</calculatedColumnFormula>
    </tableColumn>
    <tableColumn id="7" xr3:uid="{628710B8-F07C-4E62-A40B-C0C12149D863}" name="Heat" dataDxfId="189" dataCellStyle="Normal">
      <calculatedColumnFormula>Sabatier_RealWorld15[[#This Row],[Electricity]]-D7</calculatedColumnFormula>
    </tableColumn>
  </tableColumns>
  <tableStyleInfo name="TableStyleMedium1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E14E409-344E-4CE1-89BA-2626DF522A1A}" name="Sabatier_RealWorld1116" displayName="Sabatier_RealWorld1116" ref="B20:G22" totalsRowShown="0" headerRowDxfId="188" dataDxfId="187" headerRowCellStyle="Normal" dataCellStyle="Normal">
  <autoFilter ref="B20:G22" xr:uid="{51C5A901-1056-41EA-BFF7-94D85DFF5681}"/>
  <tableColumns count="6">
    <tableColumn id="1" xr3:uid="{B36ED843-878D-429F-9799-B1C3C5874A20}" name="Units" dataDxfId="186" dataCellStyle="Normal"/>
    <tableColumn id="2" xr3:uid="{22954E3B-F975-4754-ABB0-FECCA446068F}" name="H2O" dataDxfId="185" dataCellStyle="Normal">
      <calculatedColumnFormula>C14*Sabatier_Throttle</calculatedColumnFormula>
    </tableColumn>
    <tableColumn id="4" xr3:uid="{52A6BDA3-7C08-4927-A927-695A97C3CBC2}" name="Electricity" dataDxfId="184" dataCellStyle="Normal">
      <calculatedColumnFormula>D14*Sabatier_Throttle</calculatedColumnFormula>
    </tableColumn>
    <tableColumn id="5" xr3:uid="{BA7A5FCF-63A2-415C-8A2D-013DC59522F1}" name="H2" dataDxfId="183" dataCellStyle="Normal">
      <calculatedColumnFormula>E14*Sabatier_Throttle</calculatedColumnFormula>
    </tableColumn>
    <tableColumn id="6" xr3:uid="{BD5AAC7E-2D09-4738-802A-5BE23BECE349}" name="O2" dataDxfId="182" dataCellStyle="Normal">
      <calculatedColumnFormula>F14*Sabatier_Throttle</calculatedColumnFormula>
    </tableColumn>
    <tableColumn id="7" xr3:uid="{9AA73F1B-CD52-4F1D-9C09-E93D961B6935}" name="Heat" dataDxfId="181" dataCellStyle="Normal">
      <calculatedColumnFormula>G14*Sabatier_Throttle</calculatedColumnFormula>
    </tableColumn>
  </tableColumns>
  <tableStyleInfo name="TableStyleMedium1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A64AED8-0F68-4032-8C54-E6D75BF5003E}" name="Sabatier_KSP17" displayName="Sabatier_KSP17" ref="C26:G27" totalsRowShown="0" headerRowDxfId="180" dataDxfId="179" dataCellStyle="Output">
  <autoFilter ref="C26:G27" xr:uid="{2BCF6B63-DAB2-4436-AA1E-A0F68FA0E75D}"/>
  <tableColumns count="5">
    <tableColumn id="1" xr3:uid="{A1F38A89-DCD0-4630-8523-B2EFA53A6D0F}" name="Water" dataDxfId="178" dataCellStyle="Output">
      <calculatedColumnFormula>C22</calculatedColumnFormula>
    </tableColumn>
    <tableColumn id="3" xr3:uid="{AD65BC29-6C9E-48AC-A869-DEDFB6D4A68B}" name="EC" dataDxfId="177" dataCellStyle="Output">
      <calculatedColumnFormula>D22</calculatedColumnFormula>
    </tableColumn>
    <tableColumn id="4" xr3:uid="{A0251079-6DFC-45AE-A1C1-929EDD3ABDE1}" name="Hydrogen" dataDxfId="176" dataCellStyle="Output">
      <calculatedColumnFormula>E22</calculatedColumnFormula>
    </tableColumn>
    <tableColumn id="5" xr3:uid="{5D4C5FB6-8BA6-4D61-9EF4-BEA79E638EDC}" name="Oxygen" dataDxfId="175" dataCellStyle="Output">
      <calculatedColumnFormula>F22</calculatedColumnFormula>
    </tableColumn>
    <tableColumn id="6" xr3:uid="{DAAF4E84-C1EE-4896-B41B-8C85C6063FB5}" name="Heat flux" dataDxfId="174" dataCellStyle="Output">
      <calculatedColumnFormula>G22*50</calculatedColumnFormula>
    </tableColumn>
  </tableColumns>
  <tableStyleInfo name="TableStyleMedium1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120A613-A877-42A3-A847-C1B7E0C6DF5F}" name="Table8" displayName="Table8" ref="A2:H7" totalsRowShown="0" dataDxfId="173">
  <autoFilter ref="A2:H7" xr:uid="{018B0E42-5CDC-4F69-A530-D669853C286E}"/>
  <tableColumns count="8">
    <tableColumn id="1" xr3:uid="{3A17DC9D-2248-4620-9F20-FC3C97BDBEEB}" name="Name" dataDxfId="172"/>
    <tableColumn id="2" xr3:uid="{C56F5C31-CB1B-4C13-A3B1-76E5DD925E09}" name="Cost" dataDxfId="171"/>
    <tableColumn id="3" xr3:uid="{1C9B49E5-72D2-4AE1-B0D4-2BE263388504}" name="Mass" dataDxfId="170"/>
    <tableColumn id="4" xr3:uid="{0962FABF-271D-4B7F-8CFC-2234879686B8}" name="maxTemp" dataDxfId="169"/>
    <tableColumn id="5" xr3:uid="{FC3AAFEB-17F5-40E5-B3EF-84B98A36A5A0}" name="TechRequired" dataDxfId="168"/>
    <tableColumn id="6" xr3:uid="{EE5D4F1A-23AF-4A6E-9B61-E91370101CF5}" name="entryCost" dataDxfId="167"/>
    <tableColumn id="7" xr3:uid="{F90249B4-551A-4CB6-B8EE-311144C11726}" name="Cost2" dataDxfId="166"/>
    <tableColumn id="8" xr3:uid="{DE67AC19-8D18-4E26-B589-DAEDE827A2AD}" name="Mass3" dataDxfId="165"/>
  </tableColumns>
  <tableStyleInfo name="TableStyleMedium3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CE61947-9844-450F-B671-378DD3586914}" name="Table77" displayName="Table77" ref="A5:C9" totalsRowShown="0" headerRowCellStyle="Normal" dataCellStyle="Normal">
  <autoFilter ref="A5:C9" xr:uid="{A69C85AC-1E17-46D6-B061-29E305B6C031}"/>
  <tableColumns count="3">
    <tableColumn id="1" xr3:uid="{2CD4809A-C948-488C-BC3B-521055DCCCE3}" name="Resource" dataCellStyle="Normal"/>
    <tableColumn id="2" xr3:uid="{F8592BA6-9CCA-453D-B00C-8DC8EA817598}" name="Per Second" dataCellStyle="Normal"/>
    <tableColumn id="3" xr3:uid="{E9BCBBF4-F6DD-435A-86F2-66B4571858A3}" name="Per day" dataCellStyle="Normal">
      <calculatedColumnFormula>B6*60*60*24</calculatedColumnFormula>
    </tableColumn>
  </tableColumns>
  <tableStyleInfo name="TableStyleMedium1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91DDEBD-87B1-47B7-AC66-866DC6D3B335}" name="CommunityResourcePack" displayName="CommunityResourcePack" ref="A2:F184" totalsRowShown="0">
  <autoFilter ref="A2:F184" xr:uid="{B62AB1FF-1A46-4F04-A919-93F4915779DB}"/>
  <sortState xmlns:xlrd2="http://schemas.microsoft.com/office/spreadsheetml/2017/richdata2" ref="A3:F184">
    <sortCondition ref="B2:B184"/>
  </sortState>
  <tableColumns count="6">
    <tableColumn id="1" xr3:uid="{CFF29FA5-2A38-4941-A058-F6397117B645}" name="#"/>
    <tableColumn id="6" xr3:uid="{E98CB0A1-AB25-483F-9ECF-A99068A25DFD}" name="Source"/>
    <tableColumn id="2" xr3:uid="{961A5C2A-C177-4149-9FC2-A29BA601C524}" name="name"/>
    <tableColumn id="4" xr3:uid="{D06B1BB6-0411-47ED-A635-464A0355EF2D}" name="density" dataDxfId="164"/>
    <tableColumn id="5" xr3:uid="{125FE8A9-9944-4239-9F89-5BAF2BFD96E7}" name="Volume" dataDxfId="163"/>
    <tableColumn id="8" xr3:uid="{C6EA3754-F950-465A-AE45-29C92F178273}" name="unitCost" dataDxfId="162"/>
  </tableColumns>
  <tableStyleInfo name="TableStyleMedium1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1C3161A-EA9B-48C1-9B54-D8C3ECC7F66A}" name="TACLS_Oxygen18" displayName="TACLS_Oxygen18" ref="V67:Y72" totalsRowShown="0">
  <tableColumns count="4">
    <tableColumn id="1" xr3:uid="{4BBBF4A6-554D-48F6-912A-5C7851E0C4EC}" name="Specs"/>
    <tableColumn id="2" xr3:uid="{A2029FE0-B72D-478D-AB5F-2E2E42CB7762}" name="Kerbalism" dataDxfId="161"/>
    <tableColumn id="3" xr3:uid="{81982B8C-60E1-4B89-89C6-594BDA3D6DAB}" name="UvSii Previous" dataDxfId="160"/>
    <tableColumn id="4" xr3:uid="{2D99387B-EA45-4E53-8C3D-1A9E7270837F}" name="UvSii Calculated" dataDxfId="159"/>
  </tableColumns>
  <tableStyleInfo name="TableStyleMedium1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871A4EA-5376-4FB3-8EAE-9F1E7621AA83}" name="TACLS_Oxygen1820" displayName="TACLS_Oxygen1820" ref="V78:Y83" totalsRowShown="0">
  <tableColumns count="4">
    <tableColumn id="1" xr3:uid="{166ED877-3DF7-4D4A-872B-FA075365C5A7}" name="Specs"/>
    <tableColumn id="2" xr3:uid="{366A5040-6C52-4390-83FF-566960402E29}" name="Kerbalism" dataDxfId="158"/>
    <tableColumn id="3" xr3:uid="{57FD5C71-C40A-4C11-98AE-0D8E46730AC8}" name="UvSii Previous" dataDxfId="157"/>
    <tableColumn id="4" xr3:uid="{907E7EBB-FC6A-479E-A9E1-D7CD1C474391}" name="UvSii Calculated" dataDxfId="156"/>
  </tableColumns>
  <tableStyleInfo name="TableStyleMedium1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FE27358-A632-49C0-BC08-D54411A27AD0}" name="TACLS_Oxygen182021" displayName="TACLS_Oxygen182021" ref="V89:Y94" totalsRowShown="0">
  <tableColumns count="4">
    <tableColumn id="1" xr3:uid="{00AE2E68-A6AE-4ADB-9ADF-35166527FE65}" name="Specs"/>
    <tableColumn id="2" xr3:uid="{B4992537-D2C6-42A9-A875-90A4B399786C}" name="Kerbalism" dataDxfId="155"/>
    <tableColumn id="3" xr3:uid="{C41C1B56-5FBC-4BC0-8153-BAA471C7277E}" name="UvSii Previous" dataDxfId="154"/>
    <tableColumn id="4" xr3:uid="{D3EB4334-4CAB-4462-B3EC-DA0CE6073113}" name="UvSii Calculated" dataDxfId="153"/>
  </tableColumns>
  <tableStyleInfo name="TableStyleMedium1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7C6E8CD-6BF7-4D67-AE8F-957FE4490F83}" name="TACLS_Oxygen18202122" displayName="TACLS_Oxygen18202122" ref="V100:Y105" totalsRowShown="0">
  <tableColumns count="4">
    <tableColumn id="1" xr3:uid="{F5689D5F-ED4B-4BFA-87EC-86B4CB157B74}" name="Specs"/>
    <tableColumn id="2" xr3:uid="{60D43294-1F7D-41D8-B179-69B10A102EE6}" name="Kerbalism" dataDxfId="152"/>
    <tableColumn id="3" xr3:uid="{5AC400E2-BA5B-40F3-8F6F-0E19C62CC39E}" name="UvSii Previous" dataDxfId="151"/>
    <tableColumn id="4" xr3:uid="{BAB6916B-5EAD-4B79-96DA-385C3365ACBD}" name="UvSii Calculated" dataDxfId="150"/>
  </tableColumns>
  <tableStyleInfo name="TableStyleMedium1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42EFC75A-CB54-43A1-9A7D-1D81C54B887E}" name="TACLS_Oxygen23" displayName="TACLS_Oxygen23" ref="H67:K72" totalsRowShown="0">
  <tableColumns count="4">
    <tableColumn id="1" xr3:uid="{5E30D091-898B-4D5A-9D09-6A0E21BE52C2}" name="Specs"/>
    <tableColumn id="2" xr3:uid="{08C2EDC2-1E9E-4A2E-B99E-A2F583CCDE46}" name="TAC LS" dataDxfId="149"/>
    <tableColumn id="3" xr3:uid="{A09A75EC-73A1-40F7-A69E-61EC8144DFCA}" name="UvSii Previous" dataDxfId="148"/>
    <tableColumn id="4" xr3:uid="{6E50EB63-1089-4C67-B6B5-48D01BEB3FAC}" name="UvSii Calculated" dataDxfId="147"/>
  </tableColumns>
  <tableStyleInfo name="TableStyleMedium1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294BE0E2-B701-452D-9FF2-FBBF75B4D7B6}" name="TACLS_Oxygen1820212225" displayName="TACLS_Oxygen1820212225" ref="V111:Y116" totalsRowShown="0">
  <tableColumns count="4">
    <tableColumn id="1" xr3:uid="{4F16C662-05C0-4C3F-A182-0F64CF99539C}" name="Specs"/>
    <tableColumn id="2" xr3:uid="{4999CCBE-0951-498E-A6AD-0EFB1721797F}" name="Kerbalism" dataDxfId="146"/>
    <tableColumn id="3" xr3:uid="{4D4A9F5A-310C-413A-8730-D7B137832D5B}" name="UvSii Previous" dataDxfId="145"/>
    <tableColumn id="4" xr3:uid="{87828050-FEB0-4C6E-9EFD-B21F58B89878}" name="UvSii Calculated" dataDxfId="144"/>
  </tableColumns>
  <tableStyleInfo name="TableStyleMedium1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52B33F4B-975C-447A-A7F8-834E85D535E8}" name="TACLS_Oxygen2327" displayName="TACLS_Oxygen2327" ref="H56:K61" totalsRowShown="0">
  <tableColumns count="4">
    <tableColumn id="1" xr3:uid="{61291631-F2BB-4EE7-953B-303F08C70B35}" name="Specs"/>
    <tableColumn id="2" xr3:uid="{DF45DD74-F6F0-466D-A631-DE03C038CADC}" name="TAC LS" dataDxfId="143"/>
    <tableColumn id="3" xr3:uid="{29472DF0-A4A4-4E01-8994-C4D90C07E15D}" name="UvSii Previous" dataDxfId="142"/>
    <tableColumn id="4" xr3:uid="{CF173E0E-E545-41E6-8DE6-81E4FF417697}" name="UvSii Calculated" dataDxfId="141"/>
  </tableColumns>
  <tableStyleInfo name="TableStyleMedium1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8D22D01-C811-4543-A7D9-4F81EB861107}" name="TACLS_Oxygen182021222529" displayName="TACLS_Oxygen182021222529" ref="V122:Y127" totalsRowShown="0">
  <tableColumns count="4">
    <tableColumn id="1" xr3:uid="{ADBA6557-5A24-4E39-8689-D3D575F560CF}" name="Specs"/>
    <tableColumn id="2" xr3:uid="{E364084D-7D3F-45F0-B84C-19EB4249EEFD}" name="Kerbalism" dataDxfId="140"/>
    <tableColumn id="3" xr3:uid="{50B1A581-537A-42F7-A1CC-151A884BC77E}" name="UvSii Previous" dataDxfId="139"/>
    <tableColumn id="4" xr3:uid="{26E9FDDF-6C2C-441B-AA5F-EAA7324AC818}" name="UvSii Calculated" dataDxfId="138"/>
  </tableColumns>
  <tableStyleInfo name="TableStyleMedium1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1F0D156-E44E-48C7-8712-6BC9CFD9F67D}" name="TACLS_Oxygen232731" displayName="TACLS_Oxygen232731" ref="H22:K28" totalsRowShown="0">
  <tableColumns count="4">
    <tableColumn id="1" xr3:uid="{3E781CAB-0CA0-48B3-9194-7D72B1AB5695}" name="Specs"/>
    <tableColumn id="2" xr3:uid="{5B6F4640-E875-4F86-A6A2-162D0EA69182}" name="Stock" dataDxfId="137"/>
    <tableColumn id="3" xr3:uid="{F18933FF-E65A-48ED-A949-DD5CF9B507E9}" name="UvSii Previous" dataDxfId="136"/>
    <tableColumn id="4" xr3:uid="{C798253F-CEEF-4F8C-9CDB-0CB046640932}" name="UvSii Calculated" dataDxfId="135">
      <calculatedColumnFormula>TACLS_Oxygen232731[[#This Row],[Stock]]/#REF!</calculatedColumnFormula>
    </tableColumn>
  </tableColumns>
  <tableStyleInfo name="TableStyleMedium1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A66521D-E00F-4FE2-A5F8-99FD6E8BF7B1}" name="TACLS_Oxygen232732" displayName="TACLS_Oxygen232732" ref="H34:K39" totalsRowShown="0">
  <tableColumns count="4">
    <tableColumn id="1" xr3:uid="{0D32A247-5199-44EB-8CA5-1600C1C83093}" name="Specs"/>
    <tableColumn id="2" xr3:uid="{A06E1C83-BD62-4F1A-9741-12E555A275C5}" name="Stock" dataDxfId="134"/>
    <tableColumn id="3" xr3:uid="{EDD80689-447A-45C7-932C-8BDAD770D2C3}" name="UvSii Previous" dataDxfId="133"/>
    <tableColumn id="4" xr3:uid="{B7327EE1-A9E0-449F-8013-6399C75C6DF0}" name="UvSii Calculated" dataDxfId="132"/>
  </tableColumns>
  <tableStyleInfo name="TableStyleMedium1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DD36ACF-49E9-4A55-AEAA-1133FEC3D59A}" name="TACLS_Oxygen23273233" displayName="TACLS_Oxygen23273233" ref="H45:K50" totalsRowShown="0">
  <tableColumns count="4">
    <tableColumn id="1" xr3:uid="{25D651EE-5760-47CD-B684-60DC7E9D28FB}" name="Specs"/>
    <tableColumn id="2" xr3:uid="{758C8803-6502-46A6-9A9F-5AAB8C9EFE27}" name="Stock" dataDxfId="131"/>
    <tableColumn id="3" xr3:uid="{79EBEFDD-E7EA-4BD9-9088-A146F8A02BCB}" name="UvSii Previous" dataDxfId="130"/>
    <tableColumn id="4" xr3:uid="{67575BCD-823E-461D-A175-F08899D5D6E9}" name="UvSii Calculated" dataDxfId="129">
      <calculatedColumnFormula>TACLS_Oxygen23273233[[#This Row],[Stock]]/#REF!</calculatedColumnFormula>
    </tableColumn>
  </tableColumns>
  <tableStyleInfo name="TableStyleMedium1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98E7F2D6-2755-4BBA-95B4-B3AF698AD61E}" name="TACLS_Water34" displayName="TACLS_Water34" ref="H100:K105" totalsRowShown="0">
  <tableColumns count="4">
    <tableColumn id="1" xr3:uid="{72FD0B1B-DC76-4901-B2A5-8601F016F383}" name="Specs"/>
    <tableColumn id="2" xr3:uid="{98CC1A83-391C-4183-B342-8DE0D9A1BEF4}" name="TAC LS" dataDxfId="128"/>
    <tableColumn id="3" xr3:uid="{D0AD5B45-1E4D-436E-B754-FFD6D19370C1}" name="UvSii Previous" dataDxfId="127"/>
    <tableColumn id="4" xr3:uid="{B724EEFB-5FCD-4983-B7AE-F261D7542A97}" name="UvSii Calculated" dataDxfId="126"/>
  </tableColumns>
  <tableStyleInfo name="TableStyleMedium1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AB0AA4D-272C-4902-B71D-A7EB5A1FD747}" name="TACLS_Oxygen182035" displayName="TACLS_Oxygen182035" ref="AC78:AF83" totalsRowShown="0">
  <tableColumns count="4">
    <tableColumn id="1" xr3:uid="{3129E0D1-1C87-4620-ACA7-B5A9A6C10C64}" name="Specs"/>
    <tableColumn id="2" xr3:uid="{EA25B7D3-C77E-43CA-B401-624B14DDC60E}" name="Snacks" dataDxfId="125"/>
    <tableColumn id="3" xr3:uid="{04C72104-793D-48E6-B2B4-59F9E854D76F}" name="UvSii Previous" dataDxfId="124"/>
    <tableColumn id="4" xr3:uid="{87F50AE3-6597-4004-BB2A-A1EA3182EDC0}" name="UvSii Calculated" dataDxfId="123"/>
  </tableColumns>
  <tableStyleInfo name="TableStyleMedium17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5EB2B4A-77BB-452E-A372-A2C3C72AC3E9}" name="TACLS_Oxygen18203536" displayName="TACLS_Oxygen18203536" ref="AJ78:AM83" totalsRowShown="0">
  <tableColumns count="4">
    <tableColumn id="1" xr3:uid="{76E35285-4CD9-4539-80F7-A7D27EFEAC12}" name="Specs"/>
    <tableColumn id="2" xr3:uid="{1C2C6356-8730-4B35-8AC1-4AEC86BD9D3E}" name="USI LS" dataDxfId="122"/>
    <tableColumn id="3" xr3:uid="{21307DF3-BA5D-4542-A922-759C105193F6}" name="UvSii Previous" dataDxfId="121"/>
    <tableColumn id="4" xr3:uid="{6CD10111-CF72-4C55-8897-CEFD8570C36A}" name="UvSii Calculated" dataDxfId="120"/>
  </tableColumns>
  <tableStyleInfo name="TableStyleMedium17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59A93559-BD94-46D3-8F46-226A336AB85D}" name="TACLS_Oxygen18202137" displayName="TACLS_Oxygen18202137" ref="AJ89:AM94" totalsRowShown="0">
  <tableColumns count="4">
    <tableColumn id="1" xr3:uid="{CFE162D9-ED6D-4D14-9247-860CB89977F9}" name="Specs"/>
    <tableColumn id="2" xr3:uid="{6FBB5BCF-7357-4DD9-98BF-289B30B9E727}" name="USI LS" dataDxfId="119"/>
    <tableColumn id="3" xr3:uid="{35DDF760-502B-4383-8501-778958BD94B2}" name="UvSii Previous" dataDxfId="118"/>
    <tableColumn id="4" xr3:uid="{EF2C95BE-E26B-474C-8AD6-F5A83025698C}" name="UvSii Calculated" dataDxfId="117"/>
  </tableColumns>
  <tableStyleInfo name="TableStyleMedium1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7DFA1CED-01F5-4529-8626-C0AAFE8CBA81}" name="TACLS_Oxygen182021222538" displayName="TACLS_Oxygen182021222538" ref="AJ111:AM116" totalsRowShown="0">
  <tableColumns count="4">
    <tableColumn id="1" xr3:uid="{FB21DF59-CD17-4A8E-AED2-2949629A73F7}" name="Specs"/>
    <tableColumn id="2" xr3:uid="{DC7CD269-F4A9-4B8E-85F9-DF69B9C59250}" name="USI LS" dataDxfId="116"/>
    <tableColumn id="3" xr3:uid="{0566275C-0381-42F2-AFDD-8718B27719B2}" name="UvSii Previous" dataDxfId="115"/>
    <tableColumn id="4" xr3:uid="{87CB05CB-D59C-4C6F-9D34-8295D7E6F8E9}" name="UvSii Calculated" dataDxfId="114"/>
  </tableColumns>
  <tableStyleInfo name="TableStyleMedium1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FBB0A80E-E024-406E-981F-E81B0B1F5A0C}" name="TACLS_Oxygen23273142" displayName="TACLS_Oxygen23273142" ref="H6:K8" totalsRowShown="0">
  <tableColumns count="4">
    <tableColumn id="1" xr3:uid="{6F2464DD-9072-40F6-8DA0-7D5828991188}" name="Specs"/>
    <tableColumn id="2" xr3:uid="{4379BEE2-13D6-4491-B12E-343C4EA96659}" name="Stock" dataDxfId="113"/>
    <tableColumn id="3" xr3:uid="{704F4CCC-7A40-45F8-BE7F-B1FA2B2FB713}" name="UvSii Previous" dataDxfId="112"/>
    <tableColumn id="4" xr3:uid="{4C2A047B-E8D9-4C7B-8631-F2728DAB87C3}" name="UvSii Calculated" dataDxfId="111" dataCellStyle="Good">
      <calculatedColumnFormula>TACLS_Oxygen23273142[[#This Row],[Stock]]/#REF!</calculatedColumnFormula>
    </tableColumn>
  </tableColumns>
  <tableStyleInfo name="TableStyleMedium17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373E0A06-1DCB-4B78-9FEA-C1B2BDB536F4}" name="TACLS_Oxygen2327314243" displayName="TACLS_Oxygen2327314243" ref="H14:K16" totalsRowShown="0">
  <tableColumns count="4">
    <tableColumn id="1" xr3:uid="{AF36DE11-02FF-4B34-9969-3E46F9EAF465}" name="Specs"/>
    <tableColumn id="2" xr3:uid="{8DE5FA0E-AB32-4835-8236-88908EAEBE03}" name="Stock" dataDxfId="110"/>
    <tableColumn id="3" xr3:uid="{78FC8F9B-3EDD-4CF0-9854-05308555CF73}" name="UvSii Previous" dataDxfId="109"/>
    <tableColumn id="4" xr3:uid="{6633FFA9-3420-4A19-9F70-0C172D23B855}" name="UvSii Calculated" dataDxfId="108" dataCellStyle="Good">
      <calculatedColumnFormula>TACLS_Oxygen2327314243[[#This Row],[Stock]]/#REF!</calculatedColumnFormula>
    </tableColumn>
  </tableColumns>
  <tableStyleInfo name="TableStyleMedium17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570B539-6289-41BB-A3C4-9A9E19FDBF59}" name="TACLS_Oxygen232719" displayName="TACLS_Oxygen232719" ref="V56:Y61" totalsRowShown="0">
  <tableColumns count="4">
    <tableColumn id="1" xr3:uid="{23B54A80-65C7-4013-83E9-62759780843E}" name="Specs"/>
    <tableColumn id="2" xr3:uid="{362A08A1-4A1D-4A01-AFD0-62452A2ECC04}" name="Kerbalism" dataDxfId="107"/>
    <tableColumn id="3" xr3:uid="{0520D7D9-3913-4CC4-BE0F-5A00BA4CC5D0}" name="UvSii Previous" dataDxfId="106"/>
    <tableColumn id="4" xr3:uid="{35075B86-2B73-4E54-AAD3-E31CC30798EC}" name="UvSii Calculated" dataDxfId="105"/>
  </tableColumns>
  <tableStyleInfo name="TableStyleMedium17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492218EB-143D-4452-ABCE-94B11337C4C1}" name="TACLS_Water344026" displayName="TACLS_Water344026" ref="H156:K161" totalsRowShown="0">
  <tableColumns count="4">
    <tableColumn id="1" xr3:uid="{86735094-D97E-43AA-BE2D-5837FA268131}" name="Specs"/>
    <tableColumn id="2" xr3:uid="{EFF39160-9F35-4D9B-B568-1524AAC90DA1}" name="Stock" dataDxfId="104"/>
    <tableColumn id="3" xr3:uid="{B40DD404-853A-465B-B1C6-4AAD12AAE320}" name="UvSii Previous" dataDxfId="103"/>
    <tableColumn id="4" xr3:uid="{2AF34F12-84E1-474A-93DC-20AA2B856F1B}" name="UvSii Calculated" dataDxfId="102"/>
  </tableColumns>
  <tableStyleInfo name="TableStyleMedium17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8D2340F-0C40-43C6-92D8-DFFDB4C8C657}" name="TACLS_Water34402639" displayName="TACLS_Water34402639" ref="H167:K172" totalsRowShown="0">
  <tableColumns count="4">
    <tableColumn id="1" xr3:uid="{C26EAE6D-E9F5-4B97-B811-946718AA8B1D}" name="Specs"/>
    <tableColumn id="2" xr3:uid="{F27DA642-9AB8-446D-967B-44B5DC64917A}" name="Stock" dataDxfId="101"/>
    <tableColumn id="3" xr3:uid="{3AED5169-934B-47AD-AD78-DC35CD3DE3B2}" name="UvSii Previous" dataDxfId="100"/>
    <tableColumn id="4" xr3:uid="{EBC8CD6B-5424-40E8-A129-F42DDFB30264}" name="UvSii Calculated" dataDxfId="99"/>
  </tableColumns>
  <tableStyleInfo name="TableStyleMedium17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9B830C9A-27DF-499E-B343-57603F4AE873}" name="TACLS_Oxygen23273147" displayName="TACLS_Oxygen23273147" ref="H133:K139" totalsRowShown="0">
  <tableColumns count="4">
    <tableColumn id="1" xr3:uid="{85AD6156-30C9-4F9C-8EEC-2385F38BC7E6}" name="Specs"/>
    <tableColumn id="2" xr3:uid="{F763AD79-FE01-4087-9772-0728F040503B}" name="Stock" dataDxfId="98"/>
    <tableColumn id="3" xr3:uid="{4E438A6D-DAF9-4451-A057-9A1B47975E14}" name="UvSii Previous" dataDxfId="97"/>
    <tableColumn id="4" xr3:uid="{782FAC83-0CFB-40CC-ADEF-5C02BAC91440}" name="UvSii Calculated" dataDxfId="96">
      <calculatedColumnFormula>TACLS_Oxygen23273147[[#This Row],[Stock]]/#REF!</calculatedColumnFormula>
    </tableColumn>
  </tableColumns>
  <tableStyleInfo name="TableStyleMedium17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C0C53466-966F-487C-819F-EF1A9EE8A289}" name="TACLS_Oxygen23273248" displayName="TACLS_Oxygen23273248" ref="H145:K150" totalsRowShown="0">
  <tableColumns count="4">
    <tableColumn id="1" xr3:uid="{0FE1D17B-35A8-4C17-8C68-CD5A9313A72A}" name="Specs"/>
    <tableColumn id="2" xr3:uid="{3A92EBD5-A02B-4B54-8911-20CE334AD7F1}" name="Stock" dataDxfId="95"/>
    <tableColumn id="3" xr3:uid="{38299B0C-92AD-4E38-AF57-259A1DF36A50}" name="UvSii Previous" dataDxfId="94"/>
    <tableColumn id="4" xr3:uid="{8B12787C-0735-473C-ABCA-85D856FC1B21}" name="UvSii Calculated" dataDxfId="93"/>
  </tableColumns>
  <tableStyleInfo name="TableStyleMedium17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693A33E3-3B81-4687-BB54-EB60F2BBE457}" name="TACLS_Water34402649" displayName="TACLS_Water34402649" ref="V156:Y161" totalsRowShown="0">
  <tableColumns count="4">
    <tableColumn id="1" xr3:uid="{0FA8E53B-8ABC-4363-8C70-E0763F7BE18D}" name="Specs"/>
    <tableColumn id="2" xr3:uid="{A7F64276-12B1-4DE6-8A6C-A1C266742B2D}" name="Kerbalism" dataDxfId="92"/>
    <tableColumn id="3" xr3:uid="{5C6CD6CF-ED61-42E9-91BC-07EA5DA89064}" name="UvSii Previous" dataDxfId="91"/>
    <tableColumn id="4" xr3:uid="{967D04E1-9655-4668-A44F-0B01BBC249B7}" name="UvSii Calculated" dataDxfId="90"/>
  </tableColumns>
  <tableStyleInfo name="TableStyleMedium17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7B9BA583-F865-45E1-8AE6-9B09FF273607}" name="TACLS_Water3440263950" displayName="TACLS_Water3440263950" ref="V167:Y172" totalsRowShown="0">
  <tableColumns count="4">
    <tableColumn id="1" xr3:uid="{88022CB7-0628-4548-8614-E8922B33857D}" name="Specs"/>
    <tableColumn id="2" xr3:uid="{AB77690F-5F17-48BA-A108-5D3D8AB3D32A}" name="Kerbalism" dataDxfId="89"/>
    <tableColumn id="3" xr3:uid="{1393FE41-373C-421D-999F-58FD97536833}" name="UvSii Previous" dataDxfId="88"/>
    <tableColumn id="4" xr3:uid="{00F8E455-43A9-4711-97E4-3C00E2C29C46}" name="UvSii Calculated" dataDxfId="87"/>
  </tableColumns>
  <tableStyleInfo name="TableStyleMedium17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6F2C09D5-0CEA-4ED2-BAAA-67F50090D378}" name="TACLS_Water344026394451" displayName="TACLS_Water344026394451" ref="V178:Y183" totalsRowShown="0">
  <tableColumns count="4">
    <tableColumn id="1" xr3:uid="{3D0CFE98-CA5F-4E2C-8C6A-D7F9EC56E109}" name="Specs"/>
    <tableColumn id="2" xr3:uid="{2D4DC93B-6F6B-432B-A2B4-C8205057B740}" name="Kerbalism" dataDxfId="86"/>
    <tableColumn id="3" xr3:uid="{521463D9-89D9-4535-AD5B-0E5936940AC5}" name="UvSii Previous" dataDxfId="85"/>
    <tableColumn id="4" xr3:uid="{FEA9D1B9-3E93-4FB0-AB1C-6160CF4F3744}" name="UvSii Calculated" dataDxfId="84"/>
  </tableColumns>
  <tableStyleInfo name="TableStyleMedium17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A1FE255F-B44B-4140-AF0E-24E58B5500BB}" name="TACLS_Water344026394552" displayName="TACLS_Water344026394552" ref="V189:Y194" totalsRowShown="0">
  <tableColumns count="4">
    <tableColumn id="1" xr3:uid="{3D22DD24-7A85-48BB-B7A7-CA56AD06238E}" name="Specs"/>
    <tableColumn id="2" xr3:uid="{D15D3648-81F4-4242-9B57-396895FDE60D}" name="Kerbalism" dataDxfId="83"/>
    <tableColumn id="3" xr3:uid="{366E1295-94F1-4A5E-A4BE-DA11D04A8565}" name="UvSii Previous" dataDxfId="82"/>
    <tableColumn id="4" xr3:uid="{559C3713-80AD-4524-9387-87D452CE4215}" name="UvSii Calculated" dataDxfId="81"/>
  </tableColumns>
  <tableStyleInfo name="TableStyleMedium17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85AF064A-51B3-4E74-997D-7A62A47C9C20}" name="TACLS_Water344026394455" displayName="TACLS_Water344026394455" ref="AC178:AF183" totalsRowShown="0">
  <tableColumns count="4">
    <tableColumn id="1" xr3:uid="{579C5646-CE75-4228-A8F0-6609B416DFCE}" name="Specs"/>
    <tableColumn id="2" xr3:uid="{33BFD4D6-2C80-4D7E-B947-EC200C3CACBE}" name="Snacks" dataDxfId="80"/>
    <tableColumn id="3" xr3:uid="{7E49C103-5271-4592-AA29-2830E4A9D02B}" name="UvSii Previous" dataDxfId="79"/>
    <tableColumn id="4" xr3:uid="{D364A877-9C50-48F0-BB32-004A15F069C5}" name="UvSii Calculated" dataDxfId="78"/>
  </tableColumns>
  <tableStyleInfo name="TableStyleMedium17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E021F090-3564-4DDA-9865-AC7E10477EF2}" name="TACLS_Water344026394463" displayName="TACLS_Water344026394463" ref="AJ178:AM183" totalsRowShown="0">
  <tableColumns count="4">
    <tableColumn id="1" xr3:uid="{7A82B2E2-682F-4947-845B-D93001C67512}" name="Specs"/>
    <tableColumn id="2" xr3:uid="{DA72E8BD-C95E-4FC4-8038-1DB47B3057FD}" name="USI LS" dataDxfId="77"/>
    <tableColumn id="3" xr3:uid="{A5E47BC4-1898-48CF-BE75-70CF51735D80}" name="UvSii Previous" dataDxfId="76"/>
    <tableColumn id="4" xr3:uid="{F7D6AA26-F982-4954-995F-170C6A58E205}" name="UvSii Calculated" dataDxfId="75"/>
  </tableColumns>
  <tableStyleInfo name="TableStyleMedium17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84639335-F03E-4A07-8390-226B13AC7922}" name="TACLS_Oxygen65" displayName="TACLS_Oxygen65" ref="O67:R72" totalsRowShown="0">
  <tableColumns count="4">
    <tableColumn id="1" xr3:uid="{842EB63D-53C8-42A5-BCB2-C33B502FEDE5}" name="Specs"/>
    <tableColumn id="2" xr3:uid="{200AA2A5-9DCE-4298-83C1-915C668C7866}" name="TAC LS" dataDxfId="74"/>
    <tableColumn id="3" xr3:uid="{1AD4E4A8-59DC-4FB5-B62B-0C7A240F100F}" name="UvSii Previous" dataDxfId="73"/>
    <tableColumn id="4" xr3:uid="{7DC8DA80-1F9A-42CC-B710-B31F60C7087B}" name="UvSii Calculated" dataDxfId="72"/>
  </tableColumns>
  <tableStyleInfo name="TableStyleMedium17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1DC522AE-71E2-4FD1-AC3E-9576D3C6A3D1}" name="TACLS_Food66" displayName="TACLS_Food66" ref="O78:R83" totalsRowShown="0">
  <tableColumns count="4">
    <tableColumn id="1" xr3:uid="{FAC4C7E5-3348-4F07-BD2E-A8170F27A303}" name="Specs"/>
    <tableColumn id="2" xr3:uid="{BB8471C4-6FF8-4547-B569-BCE8C1EE4C7D}" name="TAC LS" dataDxfId="71"/>
    <tableColumn id="3" xr3:uid="{26452276-AD0F-4007-9805-E60A4F86A9A7}" name="UvSii Previous" dataDxfId="70"/>
    <tableColumn id="4" xr3:uid="{875E3CE2-9921-41CA-9C96-BFD0281D9E58}" name="UvSii Calculated" dataDxfId="69"/>
  </tableColumns>
  <tableStyleInfo name="TableStyleMedium17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38C475A0-4E4B-4EB4-91EF-91AB84EE5EBA}" name="TACLS_Waste67" displayName="TACLS_Waste67" ref="O89:R94" totalsRowShown="0">
  <tableColumns count="4">
    <tableColumn id="1" xr3:uid="{9ED8211C-E260-41AC-A6A8-EE5EB35A9971}" name="Specs"/>
    <tableColumn id="2" xr3:uid="{949B8FA8-DA35-4BFE-8C64-862D3B90A22A}" name="TAC LS" dataDxfId="68"/>
    <tableColumn id="3" xr3:uid="{85CA6B66-5965-45AA-938C-B135D5EDAECE}" name="UvSii Previous" dataDxfId="67"/>
    <tableColumn id="4" xr3:uid="{6537B7C9-8AC2-4E23-82DB-B193317C9D5E}" name="UvSii Calculated" dataDxfId="66"/>
  </tableColumns>
  <tableStyleInfo name="TableStyleMedium17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C393A632-BD06-4F23-B318-A24116012F75}" name="TACLS_Water68" displayName="TACLS_Water68" ref="O100:R105" totalsRowShown="0">
  <tableColumns count="4">
    <tableColumn id="1" xr3:uid="{D95C2FB4-0A0F-4445-9F58-F7ED35286FE1}" name="Specs"/>
    <tableColumn id="2" xr3:uid="{F9507A2F-9C07-42D0-9B6E-43C0834C7D53}" name="TAC LS" dataDxfId="65"/>
    <tableColumn id="3" xr3:uid="{D7DE524D-3271-4693-A93F-A8424DB431EB}" name="UvSii Previous" dataDxfId="64"/>
    <tableColumn id="4" xr3:uid="{E37D06D0-2833-45EA-9086-DA8446F811A9}" name="UvSii Calculated" dataDxfId="63"/>
  </tableColumns>
  <tableStyleInfo name="TableStyleMedium17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C920E7C7-102A-4319-AACA-98AAD5E428DB}" name="TACLS_Water2469" displayName="TACLS_Water2469" ref="O111:R116" totalsRowShown="0">
  <tableColumns count="4">
    <tableColumn id="1" xr3:uid="{CB7B5F91-8E63-4A9D-80A2-B1D0CCA76C1B}" name="Specs"/>
    <tableColumn id="2" xr3:uid="{32578B4F-C605-4887-BB5B-2DC459E41AF7}" name="TAC LS" dataDxfId="62"/>
    <tableColumn id="3" xr3:uid="{0886D94D-9FBE-427C-8E54-D44BD1D6A012}" name="UvSii Previous" dataDxfId="61"/>
    <tableColumn id="4" xr3:uid="{25E8E0C9-2FEE-49F8-A71D-DDF640DCA9CD}" name="UvSii Calculated" dataDxfId="60"/>
  </tableColumns>
  <tableStyleInfo name="TableStyleMedium17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867AC7B-06BF-4092-998D-01BEE0D1E0EF}" name="TACLS_Water242870" displayName="TACLS_Water242870" ref="O122:R127" totalsRowShown="0">
  <tableColumns count="4">
    <tableColumn id="1" xr3:uid="{4F806F8D-3269-4BE0-A58B-E4120D9B2F35}" name="Specs"/>
    <tableColumn id="2" xr3:uid="{035F1E3A-A998-487A-BEB0-0B9A0A76A15B}" name="TAC LS" dataDxfId="59"/>
    <tableColumn id="3" xr3:uid="{28552835-1F60-4B85-8775-D17CBC61B636}" name="UvSii Previous" dataDxfId="58"/>
    <tableColumn id="4" xr3:uid="{37419B8D-7962-4ACE-825A-F7200975E278}" name="UvSii Calculated" dataDxfId="57"/>
  </tableColumns>
  <tableStyleInfo name="TableStyleMedium17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AE930640-B62F-40FE-907C-41D3A5C045E1}" name="TACLS_Water34402639445971" displayName="TACLS_Water34402639445971" ref="O178:R183" totalsRowShown="0">
  <tableColumns count="4">
    <tableColumn id="1" xr3:uid="{E13DB87E-452A-497F-8FED-5E05C385B717}" name="Specs"/>
    <tableColumn id="2" xr3:uid="{7FD7146A-029B-4827-B6D6-29F2B5A2F417}" name="TAC LS" dataDxfId="56"/>
    <tableColumn id="3" xr3:uid="{2EFE594C-C01E-453A-94B5-37B720027A46}" name="UvSii Previous" dataDxfId="55"/>
    <tableColumn id="4" xr3:uid="{EA8FF2FB-1BF3-4532-B623-408BEE84C292}" name="UvSii Calculated" dataDxfId="54"/>
  </tableColumns>
  <tableStyleInfo name="TableStyleMedium17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6446353A-2312-4F57-B228-92720E61FA0F}" name="TACLS_Water344026394573" displayName="TACLS_Water344026394573" ref="O189:R194" totalsRowShown="0">
  <tableColumns count="4">
    <tableColumn id="1" xr3:uid="{BFF67561-8033-41E9-8CBA-55150194D035}" name="Specs"/>
    <tableColumn id="2" xr3:uid="{50A7B799-37DE-4194-B4E3-20E6817BBB64}" name="TAC LS" dataDxfId="53"/>
    <tableColumn id="3" xr3:uid="{E7553F1B-48E4-49EB-BADD-BF04439D3F87}" name="UvSii Previous" dataDxfId="52"/>
    <tableColumn id="4" xr3:uid="{87BFABE0-697B-4085-B19C-9F2425A09765}" name="UvSii Calculated" dataDxfId="51"/>
  </tableColumns>
  <tableStyleInfo name="TableStyleMedium17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ADDF181-B25C-41E8-B0B1-A4C990E093CC}" name="TACLS_Water24287045" displayName="TACLS_Water24287045" ref="O254:R260" totalsRowShown="0">
  <tableColumns count="4">
    <tableColumn id="1" xr3:uid="{975A180A-FE52-4263-B699-31245FDA249B}" name="Specs"/>
    <tableColumn id="2" xr3:uid="{CC640126-48FC-41D3-B7F5-65D2DF5C1616}" name="TAC LS" dataDxfId="50"/>
    <tableColumn id="3" xr3:uid="{6F1A0C15-F727-48C5-9F5A-744C60FEBBEA}" name="UvSii Previous" dataDxfId="49"/>
    <tableColumn id="4" xr3:uid="{8DA1B2CE-7022-4E6B-8E0D-ADF101D156C1}" name="UvSii Calculated" dataCellStyle="Good"/>
  </tableColumns>
  <tableStyleInfo name="TableStyleMedium17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9DDE0D2E-C3F3-402B-8BB6-1FAE3B9EC91D}" name="TACLS_Water2428704546" displayName="TACLS_Water2428704546" ref="H226:K233" totalsRowShown="0">
  <tableColumns count="4">
    <tableColumn id="1" xr3:uid="{D9A93865-C628-4DA7-BA12-8F81F287FAF0}" name="Specs"/>
    <tableColumn id="2" xr3:uid="{0ECE8A7C-E195-4A41-9E06-5D4337A72153}" name="TAC LS" dataDxfId="48"/>
    <tableColumn id="3" xr3:uid="{9B31179C-1B8F-40C1-AD22-E86B10AC03FD}" name="UvSii Previous" dataDxfId="47" dataCellStyle="Good"/>
    <tableColumn id="4" xr3:uid="{9BDA2D11-E032-4AE9-8090-9E12F579F8DF}" name="UvSii Calculated" dataCellStyle="Normal"/>
  </tableColumns>
  <tableStyleInfo name="TableStyleMedium17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A379F04-371A-45D8-8A9D-EE755633B750}" name="TACLS_Water2428704553" displayName="TACLS_Water2428704553" ref="O239:R247" totalsRowShown="0">
  <tableColumns count="4">
    <tableColumn id="1" xr3:uid="{2E24C8F7-6041-4927-B6BE-C25FE48F78D9}" name="Specs"/>
    <tableColumn id="2" xr3:uid="{4DFF6D25-C74B-4EAE-AFE6-ED47907CA79D}" name="TAC LS" dataDxfId="46"/>
    <tableColumn id="3" xr3:uid="{22707217-2BDD-42B3-8C2F-912E2F7D519F}" name="UvSii Previous" dataDxfId="45" dataCellStyle="Good"/>
    <tableColumn id="4" xr3:uid="{FFBDA187-C1C7-49EC-BE13-FF29A26BB1C7}" name="UvSii Calculated" dataDxfId="44"/>
  </tableColumns>
  <tableStyleInfo name="TableStyleMedium17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B49AA608-94CF-49B1-BEBE-6AA603D2B5A7}" name="TACLS_Water242870455354" displayName="TACLS_Water242870455354" ref="H200:K207" totalsRowShown="0">
  <tableColumns count="4">
    <tableColumn id="1" xr3:uid="{99784278-3A4D-4AFD-9FF7-D734381B3D1D}" name="Specs"/>
    <tableColumn id="2" xr3:uid="{1260BBB8-ACB5-4346-A60D-A276B5FC6596}" name="Stock" dataDxfId="43"/>
    <tableColumn id="3" xr3:uid="{47E92DBD-BD96-4E1F-B4B1-C1B1B2BE923D}" name="UvSii Previous" dataDxfId="42" dataCellStyle="Good"/>
    <tableColumn id="4" xr3:uid="{0FBCE84F-1D30-4CDE-B7D1-47563723CB05}" name="UvSii Calculated" dataCellStyle="Normal"/>
  </tableColumns>
  <tableStyleInfo name="TableStyleMedium17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4A328093-03A3-409F-85AA-29D745E7D178}" name="TACLS_Water242870455359" displayName="TACLS_Water242870455359" ref="H213:K220" totalsRowShown="0">
  <tableColumns count="4">
    <tableColumn id="1" xr3:uid="{6F38A991-587B-4DC6-8E6F-5009B28F620C}" name="Specs"/>
    <tableColumn id="2" xr3:uid="{AA8FF0F7-0AEF-4D17-A123-2BBD186D696F}" name="Stock" dataDxfId="41"/>
    <tableColumn id="3" xr3:uid="{7DF3D6EB-812A-48BB-92D7-B19138D0E43A}" name="UvSii Previous" dataDxfId="40" dataCellStyle="Good"/>
    <tableColumn id="4" xr3:uid="{43EB7C85-55B7-4FC3-947A-EB13251257EA}" name="UvSii Calculated" dataCellStyle="Normal"/>
  </tableColumns>
  <tableStyleInfo name="TableStyleMedium17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B120017A-0DD6-43C8-8A53-36AFC28F3A19}" name="TACLS_Water242870455360" displayName="TACLS_Water242870455360" ref="V239:Y247" totalsRowShown="0">
  <tableColumns count="4">
    <tableColumn id="1" xr3:uid="{35342467-8ED0-4CD9-AA11-31E7702E8327}" name="Specs"/>
    <tableColumn id="2" xr3:uid="{5CA58C49-F28A-47A5-925B-D352B128D56B}" name="TAC LS" dataDxfId="39"/>
    <tableColumn id="3" xr3:uid="{728CEA84-AF25-49AD-BE1B-88A57AA86E4E}" name="UvSii Previous" dataDxfId="38" dataCellStyle="Good"/>
    <tableColumn id="4" xr3:uid="{06BF576B-8135-457F-BF32-C19697ADC77B}" name="UvSii Calculated" dataDxfId="37"/>
  </tableColumns>
  <tableStyleInfo name="TableStyleMedium17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83C6FEF-80B0-426D-A8A4-7F19C066D656}" name="TACLS_Water2428704562" displayName="TACLS_Water2428704562" ref="V254:Y260" totalsRowShown="0">
  <tableColumns count="4">
    <tableColumn id="1" xr3:uid="{65F31099-280F-4DF1-92BA-389AE0193476}" name="Specs"/>
    <tableColumn id="2" xr3:uid="{E92B540E-2840-4898-B164-BECDCCBEC3B9}" name="TAC LS" dataDxfId="36"/>
    <tableColumn id="3" xr3:uid="{6EA10DA9-2FCD-4417-8AA5-65AF21BC9812}" name="UvSii Previous" dataDxfId="35"/>
    <tableColumn id="4" xr3:uid="{B90929C3-3555-483D-BDAF-00FB9C8EDBC4}" name="UvSii Calculated" dataCellStyle="Good"/>
  </tableColumns>
  <tableStyleInfo name="TableStyleMedium17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1A6D8E8F-5F76-495B-9F96-0357EB84BE8A}" name="TACLS_Water242870456264" displayName="TACLS_Water242870456264" ref="AJ254:AM260" totalsRowShown="0">
  <tableColumns count="4">
    <tableColumn id="1" xr3:uid="{D4535D30-3ACF-4501-8531-F7BDC2EAC766}" name="Specs"/>
    <tableColumn id="2" xr3:uid="{8D672809-EBD0-45F1-AD2E-BE6CBBB73AFE}" name="USI LS" dataDxfId="34"/>
    <tableColumn id="3" xr3:uid="{27F1AB97-C8B2-4E77-855F-4B2AF2831257}" name="UvSii Previous" dataDxfId="33"/>
    <tableColumn id="4" xr3:uid="{F0DE4632-7CAC-4186-BB26-B2573CC089EB}" name="UvSii Calculated" dataCellStyle="Good"/>
  </tableColumns>
  <tableStyleInfo name="TableStyleMedium17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86E091BC-F4E6-465F-ACCE-454B7330685F}" name="TACLS_Water3440263972" displayName="TACLS_Water3440263972" ref="H310:K315" totalsRowShown="0">
  <tableColumns count="4">
    <tableColumn id="1" xr3:uid="{08D9F3C8-99F4-456E-BB73-327D98103BE9}" name="Specs"/>
    <tableColumn id="2" xr3:uid="{4882C2BF-F660-4613-A74F-9054AEEC7872}" name="Stock" dataDxfId="32"/>
    <tableColumn id="3" xr3:uid="{DF307DD4-DDB8-4CFE-B014-A13FFC57ED58}" name="UvSii Previous" dataDxfId="31"/>
    <tableColumn id="4" xr3:uid="{EDA2AC60-F071-4C3B-96D9-3AF5C3C42558}" name="UvSii Calculated" dataDxfId="30"/>
  </tableColumns>
  <tableStyleInfo name="TableStyleMedium17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1E3BD8EC-8BED-4959-A580-8718E34A2FFB}" name="TACLS_Water344026397274" displayName="TACLS_Water344026397274" ref="H266:K271" totalsRowShown="0">
  <tableColumns count="4">
    <tableColumn id="1" xr3:uid="{0AB1E0F0-0A1D-469C-83C4-D86DD15A86D4}" name="Specs"/>
    <tableColumn id="2" xr3:uid="{746E9866-100A-4894-9BB6-B257CC60BB6B}" name="Stock" dataDxfId="29"/>
    <tableColumn id="3" xr3:uid="{EB59E852-EBEE-4A10-949B-F2F8E8278FDC}" name="UvSii Previous" dataDxfId="28"/>
    <tableColumn id="4" xr3:uid="{B0E46E8F-13E0-4660-A42A-A83868A4F3C6}" name="UvSii Calculated" dataDxfId="27"/>
  </tableColumns>
  <tableStyleInfo name="TableStyleMedium17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382C4E48-EE34-4A9D-87C8-5094BB32E51C}" name="TACLS_Water34402639727475" displayName="TACLS_Water34402639727475" ref="H277:K282" totalsRowShown="0">
  <tableColumns count="4">
    <tableColumn id="1" xr3:uid="{8C950609-3243-4D15-AA90-AC1F32C2D0DC}" name="Specs"/>
    <tableColumn id="2" xr3:uid="{50CF5170-0C10-4969-82F7-6D1C7F0A5432}" name="Stock" dataDxfId="26"/>
    <tableColumn id="3" xr3:uid="{A26BDFCB-36F8-4317-BAE0-64B4AB0F8347}" name="UvSii Previous" dataDxfId="25"/>
    <tableColumn id="4" xr3:uid="{24274C0A-D94B-414E-B43C-8C9C383193E1}" name="UvSii Calculated" dataDxfId="24"/>
  </tableColumns>
  <tableStyleInfo name="TableStyleMedium17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EF89A064-C755-4364-87C7-8B806C0770CB}" name="TACLS_Water34402639727476" displayName="TACLS_Water34402639727476" ref="H288:K293" totalsRowShown="0">
  <tableColumns count="4">
    <tableColumn id="1" xr3:uid="{0DFFF7B8-4FDE-43C4-881F-1952005381AC}" name="Specs"/>
    <tableColumn id="2" xr3:uid="{0F52967B-1121-4512-A995-613DE5D76C55}" name="Stock" dataDxfId="23"/>
    <tableColumn id="3" xr3:uid="{7B5194B6-A8EC-419A-807D-AD6454024115}" name="UvSii Previous" dataDxfId="22"/>
    <tableColumn id="4" xr3:uid="{F83C1176-391F-4D2E-81F5-0EA4610DADF6}" name="UvSii Calculated" dataDxfId="21"/>
  </tableColumns>
  <tableStyleInfo name="TableStyleMedium17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4E193255-3C9D-4444-8151-2577396114C9}" name="TACLS_Water34402639727477" displayName="TACLS_Water34402639727477" ref="H299:K304" totalsRowShown="0">
  <tableColumns count="4">
    <tableColumn id="1" xr3:uid="{DB587D04-B0BB-48E6-842B-34E640374328}" name="Specs"/>
    <tableColumn id="2" xr3:uid="{EA15237D-5619-4F4E-AB71-E425DEF126E5}" name="Stock" dataDxfId="20"/>
    <tableColumn id="3" xr3:uid="{C2C0BA90-D83F-4F6B-A70E-9A3BEAAE4930}" name="UvSii Previous" dataDxfId="19"/>
    <tableColumn id="4" xr3:uid="{AC434B40-61C0-4A0E-8EB7-8F30CDBFFBE6}" name="UvSii Calculated" dataDxfId="18"/>
  </tableColumns>
  <tableStyleInfo name="TableStyleMedium17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0B3B6685-52B1-4928-950D-4E103DBFA500}" name="Table1" displayName="Table1" ref="D2:R5" totalsRowShown="0" headerRowDxfId="17" dataDxfId="16">
  <autoFilter ref="D2:R5" xr:uid="{9EE0A9DA-8480-4512-98DA-B2551DA9E2A5}"/>
  <tableColumns count="15">
    <tableColumn id="1" xr3:uid="{2057C3EB-620A-4B62-A5CE-CA675C425CE5}" name="Type" dataDxfId="15"/>
    <tableColumn id="2" xr3:uid="{4DA8AC15-D1B1-4F34-9F04-6B36867A6A61}" name="Reference Part" dataDxfId="14"/>
    <tableColumn id="3" xr3:uid="{C7E2BDED-8734-4D78-840C-32B925890E26}" name="Reference Cost" dataDxfId="13"/>
    <tableColumn id="4" xr3:uid="{92C54ED4-7CEE-4606-8545-60E5194DC76F}" name="Reference Mass" dataDxfId="12"/>
    <tableColumn id="5" xr3:uid="{41E508E4-2FE4-4935-8B7A-4771AC6A7FB3}" name="R 1" dataDxfId="11"/>
    <tableColumn id="6" xr3:uid="{0C91B9F2-269F-4C50-90C1-31F93F4E4F3B}" name="R 1 Amount" dataDxfId="10"/>
    <tableColumn id="7" xr3:uid="{BE0F7E37-E446-48EC-8FC2-51EB30796603}" name="R 2" dataDxfId="9"/>
    <tableColumn id="8" xr3:uid="{30D88A0F-3977-45AC-AEA4-4CCBAC7E3767}" name="R 2 Amount" dataDxfId="8"/>
    <tableColumn id="9" xr3:uid="{1FA7DF3A-3483-4E24-9FC5-D4A6F2164FDB}" name="Ratio" dataCellStyle="Input"/>
    <tableColumn id="10" xr3:uid="{889D2793-CB7E-4BA3-87F0-6D16612F8E46}" name="UvSii Cost" dataDxfId="7">
      <calculatedColumnFormula>F3*L3</calculatedColumnFormula>
    </tableColumn>
    <tableColumn id="11" xr3:uid="{01B310F9-00FA-4B6F-AB1A-7F2C87D28C64}" name="UvSii Mass" dataDxfId="6">
      <calculatedColumnFormula>G3*L3</calculatedColumnFormula>
    </tableColumn>
    <tableColumn id="12" xr3:uid="{16A3AB2B-F5ED-4C3B-9FD7-6486EB5BE551}" name="R 12" dataDxfId="5">
      <calculatedColumnFormula>IF(ISBLANK(H3),"",H3)</calculatedColumnFormula>
    </tableColumn>
    <tableColumn id="13" xr3:uid="{C41C6C06-D767-4F8C-A567-0AA17194A75F}" name="R 1 Amount3" dataDxfId="4">
      <calculatedColumnFormula>IF(ISBLANK(I3),"",I3)</calculatedColumnFormula>
    </tableColumn>
    <tableColumn id="14" xr3:uid="{2968F406-8B12-4299-9430-B61D7670147C}" name="R 24" dataDxfId="3">
      <calculatedColumnFormula>IF(ISBLANK(J3),"",J3)</calculatedColumnFormula>
    </tableColumn>
    <tableColumn id="15" xr3:uid="{BA75EF96-B66F-4C89-A5EF-9DE08F9BA626}" name="R 2 Amount5" dataDxfId="2">
      <calculatedColumnFormula>IF(ISBLANK(K3),"",K3)</calculatedColumnFormula>
    </tableColumn>
  </tableColumns>
  <tableStyleInfo name="TableStyleLight1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8CE43A3-8776-400E-937D-6FAEB216BDF7}" name="Table23" displayName="Table23" ref="D2:F15" totalsRowShown="0">
  <autoFilter ref="D2:F15" xr:uid="{5BFA6566-6BFE-456D-A5B4-5A9FCF6739EE}"/>
  <tableColumns count="3">
    <tableColumn id="1" xr3:uid="{181D8311-098E-4C32-989B-D10F4EF8C27D}" name="Celcius">
      <calculatedColumnFormula>E3-273.15</calculatedColumnFormula>
    </tableColumn>
    <tableColumn id="2" xr3:uid="{3D730E6E-E7D5-4B60-99B0-BDF38015A7BB}" name="Kelvin"/>
    <tableColumn id="3" xr3:uid="{BB2CBCE6-4431-437B-967A-840689E65A6F}" name="Efficiency"/>
  </tableColumns>
  <tableStyleInfo name="TableStyleMedium16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2CAA5619-FC8C-4AB6-8416-B4834FBAB038}" name="Table55" displayName="Table55" ref="H2:I7" totalsRowShown="0">
  <autoFilter ref="H2:I7" xr:uid="{A2F86256-E060-4174-B8BF-D803F8D6FF4C}"/>
  <tableColumns count="2">
    <tableColumn id="1" xr3:uid="{7C4C532B-AA81-4FAE-A53A-0E298E1FCDE5}" name="TemperatureModifier"/>
    <tableColumn id="2" xr3:uid="{27895759-5BD5-46A0-93BA-1E40D7358C49}" name="Value"/>
  </tableColumns>
  <tableStyleInfo name="TableStyleMedium20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7BAB65CB-EAC0-4AFB-8AF5-B40CF4DDEC19}" name="Table56" displayName="Table56" ref="H9:I14" totalsRowShown="0">
  <autoFilter ref="H9:I14" xr:uid="{234BB71A-2B7C-4A66-8F09-8D74E55578E4}"/>
  <tableColumns count="2">
    <tableColumn id="1" xr3:uid="{4A2B5F4B-E679-4269-9667-D16BBCC63525}" name="ThermalEfficiency"/>
    <tableColumn id="2" xr3:uid="{17B1424C-0E6B-408D-AFC3-86C3BE80084A}" name="Value"/>
  </tableColumns>
  <tableStyleInfo name="TableStyleMedium20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2E471C4F-6FB3-4005-BA00-FA21211DCDC1}" name="Table57" displayName="Table57" ref="K2:L7" totalsRowShown="0">
  <autoFilter ref="K2:L7" xr:uid="{6F92F9A9-5D7E-45E7-B586-683D7E5BF7C6}"/>
  <tableColumns count="2">
    <tableColumn id="1" xr3:uid="{3E165E67-52CC-48FC-BF1B-394B2FA79673}" name="TemperatureModifier"/>
    <tableColumn id="2" xr3:uid="{18397A92-B2AC-4F08-86CE-FD887891DD33}" name="Value"/>
  </tableColumns>
  <tableStyleInfo name="TableStyleMedium21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933F896D-44AA-4A23-8CC2-D7E33503A5A7}" name="Table60" displayName="Table60" ref="K9:L14" totalsRowShown="0" headerRowCellStyle="Normal" dataCellStyle="Normal">
  <autoFilter ref="K9:L14" xr:uid="{41D72CC0-DC33-4C38-A0F7-27E8777B51E2}"/>
  <tableColumns count="2">
    <tableColumn id="1" xr3:uid="{8CCBC001-B02B-4785-A59D-2F9A3FCD7529}" name="ThermalEfficiency" dataCellStyle="Normal"/>
    <tableColumn id="2" xr3:uid="{804B77C5-712E-4E99-9DA4-08A0FADAE52C}" name="Value" dataCellStyle="Normal"/>
  </tableColumns>
  <tableStyleInfo name="TableStyleMedium21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6" xr:uid="{E2F409C0-3388-4654-9513-7485C9EB3E9E}" name="Fuel1.2Ratio" displayName="Fuel1.2Ratio" ref="B18:D518" totalsRowShown="0">
  <autoFilter ref="B18:D518" xr:uid="{6A60310C-2300-4508-B915-CAF9FE562644}"/>
  <tableColumns count="3">
    <tableColumn id="1" xr3:uid="{032F4648-C80E-4D2A-8278-E8E79885FE80}" name="Liquid Fuel"/>
    <tableColumn id="2" xr3:uid="{0DC1EBD7-B97B-4A95-9B15-5D3087232200}" name="Oxydizer">
      <calculatedColumnFormula>B19*1.2</calculatedColumnFormula>
    </tableColumn>
    <tableColumn id="3" xr3:uid="{12A98794-9400-4B2D-ADC8-A75394B49A2B}" name="Column1" dataDxfId="1">
      <calculatedColumnFormula>MOD(Fuel1.2Ratio[[#This Row],[Oxydizer]],1)</calculatedColumnFormula>
    </tableColumn>
  </tableColumns>
  <tableStyleInfo name="TableStyleMedium16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0" xr:uid="{3DF0F728-469F-44A6-8BD4-9EFC9B588BD3}" name="Fuel1.2RatioWholeNumbers" displayName="Fuel1.2RatioWholeNumbers" ref="B521:C621" totalsRowShown="0" headerRowCellStyle="Normal" dataCellStyle="Normal">
  <autoFilter ref="B521:C621" xr:uid="{A58BA43D-9158-424C-9356-F55E41EF9584}"/>
  <tableColumns count="2">
    <tableColumn id="1" xr3:uid="{988C8EAD-80C9-4F48-B113-1AA06B7FAC4C}" name="Liquid Fuel" dataCellStyle="Normal"/>
    <tableColumn id="2" xr3:uid="{B85CAECA-7D1E-4AB9-AFF4-602E8DF93E4E}" name="Oxydizer" dataCellStyle="Normal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86" dT="2020-02-04T19:10:14.63" personId="{94C88E14-9BB7-4463-A3F3-03AC045E9D70}" id="{C8B4A898-4AC2-4BB5-88E2-9FB02B20418A}">
    <text>Currently only balanced for KOS.  Ideally need to introduce more complex balance for Mechjeb, or remove Mechjeb function entirely.</text>
  </threadedComment>
  <threadedComment ref="I91" dT="2020-02-04T18:49:34.97" personId="{94C88E14-9BB7-4463-A3F3-03AC045E9D70}" id="{F0750132-15CC-4B4A-AEAF-B62DC53371B5}">
    <text>Unlock: 4200 flightControl</text>
  </threadedComment>
  <threadedComment ref="I221" dT="2020-02-16T10:26:41.48" personId="{94C88E14-9BB7-4463-A3F3-03AC045E9D70}" id="{0E91F3D8-C775-44A4-9951-2298C6C1B510}">
    <text>Ratio of 2 to represent the fairing and core in a single unit.</text>
  </threadedComment>
  <threadedComment ref="I281" dT="2020-02-16T10:02:14.96" personId="{94C88E14-9BB7-4463-A3F3-03AC045E9D70}" id="{0FD84497-D55F-43D9-97AD-B1B274B7BD5F}">
    <text>Set to 0.5 to represent the fairing plus core being equivalent to Service Bay.</text>
  </threadedComment>
  <threadedComment ref="I353" dT="2020-02-16T10:02:21.31" personId="{94C88E14-9BB7-4463-A3F3-03AC045E9D70}" id="{58A18756-102C-46EB-984E-2EEF51353806}">
    <text>Set to 0.5 to represent the fairing plus core being equivalent to Service Bay.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hyperlink" Target="http://en.wikipedia.org/wiki/Methane" TargetMode="External"/><Relationship Id="rId7" Type="http://schemas.openxmlformats.org/officeDocument/2006/relationships/table" Target="../tables/table1.xml"/><Relationship Id="rId2" Type="http://schemas.openxmlformats.org/officeDocument/2006/relationships/hyperlink" Target="http://en.wikipedia.org/wiki/Hydrogen" TargetMode="External"/><Relationship Id="rId1" Type="http://schemas.openxmlformats.org/officeDocument/2006/relationships/hyperlink" Target="http://www.catalinacylinders.com/CO2Spec.pdf" TargetMode="External"/><Relationship Id="rId6" Type="http://schemas.openxmlformats.org/officeDocument/2006/relationships/drawing" Target="../drawings/drawing1.xml"/><Relationship Id="rId5" Type="http://schemas.openxmlformats.org/officeDocument/2006/relationships/hyperlink" Target="http://en.wikipedia.org/wiki/Oxygen" TargetMode="External"/><Relationship Id="rId10" Type="http://schemas.openxmlformats.org/officeDocument/2006/relationships/table" Target="../tables/table4.xml"/><Relationship Id="rId4" Type="http://schemas.openxmlformats.org/officeDocument/2006/relationships/hyperlink" Target="http://en.wikipedia.org/wiki/Water" TargetMode="External"/><Relationship Id="rId9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hyperlink" Target="https://en.wikipedia.org/wiki/Fuel_cell" TargetMode="External"/><Relationship Id="rId7" Type="http://schemas.openxmlformats.org/officeDocument/2006/relationships/table" Target="../tables/table7.xml"/><Relationship Id="rId2" Type="http://schemas.openxmlformats.org/officeDocument/2006/relationships/hyperlink" Target="https://en.wikipedia.org/wiki/Proton-exchange_membrane_fuel_cell" TargetMode="External"/><Relationship Id="rId1" Type="http://schemas.openxmlformats.org/officeDocument/2006/relationships/hyperlink" Target="https://en.wikipedia.org/wiki/Proton-exchange_membrane_fuel_cell" TargetMode="Externa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en.wikipedia.org/wiki/Sabatier_reaction" TargetMode="External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hyperlink" Target="https://en.wikipedia.org/wiki/Electrolysis_of_water" TargetMode="Externa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36.xml"/><Relationship Id="rId18" Type="http://schemas.openxmlformats.org/officeDocument/2006/relationships/table" Target="../tables/table41.xml"/><Relationship Id="rId26" Type="http://schemas.openxmlformats.org/officeDocument/2006/relationships/table" Target="../tables/table49.xml"/><Relationship Id="rId39" Type="http://schemas.openxmlformats.org/officeDocument/2006/relationships/table" Target="../tables/table62.xml"/><Relationship Id="rId21" Type="http://schemas.openxmlformats.org/officeDocument/2006/relationships/table" Target="../tables/table44.xml"/><Relationship Id="rId34" Type="http://schemas.openxmlformats.org/officeDocument/2006/relationships/table" Target="../tables/table57.xml"/><Relationship Id="rId42" Type="http://schemas.openxmlformats.org/officeDocument/2006/relationships/table" Target="../tables/table65.xml"/><Relationship Id="rId47" Type="http://schemas.openxmlformats.org/officeDocument/2006/relationships/table" Target="../tables/table70.xml"/><Relationship Id="rId50" Type="http://schemas.openxmlformats.org/officeDocument/2006/relationships/table" Target="../tables/table73.xml"/><Relationship Id="rId7" Type="http://schemas.openxmlformats.org/officeDocument/2006/relationships/table" Target="../tables/table30.xml"/><Relationship Id="rId2" Type="http://schemas.openxmlformats.org/officeDocument/2006/relationships/table" Target="../tables/table25.xml"/><Relationship Id="rId16" Type="http://schemas.openxmlformats.org/officeDocument/2006/relationships/table" Target="../tables/table39.xml"/><Relationship Id="rId29" Type="http://schemas.openxmlformats.org/officeDocument/2006/relationships/table" Target="../tables/table52.xml"/><Relationship Id="rId11" Type="http://schemas.openxmlformats.org/officeDocument/2006/relationships/table" Target="../tables/table34.xml"/><Relationship Id="rId24" Type="http://schemas.openxmlformats.org/officeDocument/2006/relationships/table" Target="../tables/table47.xml"/><Relationship Id="rId32" Type="http://schemas.openxmlformats.org/officeDocument/2006/relationships/table" Target="../tables/table55.xml"/><Relationship Id="rId37" Type="http://schemas.openxmlformats.org/officeDocument/2006/relationships/table" Target="../tables/table60.xml"/><Relationship Id="rId40" Type="http://schemas.openxmlformats.org/officeDocument/2006/relationships/table" Target="../tables/table63.xml"/><Relationship Id="rId45" Type="http://schemas.openxmlformats.org/officeDocument/2006/relationships/table" Target="../tables/table68.xml"/><Relationship Id="rId5" Type="http://schemas.openxmlformats.org/officeDocument/2006/relationships/table" Target="../tables/table28.xml"/><Relationship Id="rId15" Type="http://schemas.openxmlformats.org/officeDocument/2006/relationships/table" Target="../tables/table38.xml"/><Relationship Id="rId23" Type="http://schemas.openxmlformats.org/officeDocument/2006/relationships/table" Target="../tables/table46.xml"/><Relationship Id="rId28" Type="http://schemas.openxmlformats.org/officeDocument/2006/relationships/table" Target="../tables/table51.xml"/><Relationship Id="rId36" Type="http://schemas.openxmlformats.org/officeDocument/2006/relationships/table" Target="../tables/table59.xml"/><Relationship Id="rId49" Type="http://schemas.openxmlformats.org/officeDocument/2006/relationships/table" Target="../tables/table72.xml"/><Relationship Id="rId10" Type="http://schemas.openxmlformats.org/officeDocument/2006/relationships/table" Target="../tables/table33.xml"/><Relationship Id="rId19" Type="http://schemas.openxmlformats.org/officeDocument/2006/relationships/table" Target="../tables/table42.xml"/><Relationship Id="rId31" Type="http://schemas.openxmlformats.org/officeDocument/2006/relationships/table" Target="../tables/table54.xml"/><Relationship Id="rId44" Type="http://schemas.openxmlformats.org/officeDocument/2006/relationships/table" Target="../tables/table67.xml"/><Relationship Id="rId4" Type="http://schemas.openxmlformats.org/officeDocument/2006/relationships/table" Target="../tables/table27.xml"/><Relationship Id="rId9" Type="http://schemas.openxmlformats.org/officeDocument/2006/relationships/table" Target="../tables/table32.xml"/><Relationship Id="rId14" Type="http://schemas.openxmlformats.org/officeDocument/2006/relationships/table" Target="../tables/table37.xml"/><Relationship Id="rId22" Type="http://schemas.openxmlformats.org/officeDocument/2006/relationships/table" Target="../tables/table45.xml"/><Relationship Id="rId27" Type="http://schemas.openxmlformats.org/officeDocument/2006/relationships/table" Target="../tables/table50.xml"/><Relationship Id="rId30" Type="http://schemas.openxmlformats.org/officeDocument/2006/relationships/table" Target="../tables/table53.xml"/><Relationship Id="rId35" Type="http://schemas.openxmlformats.org/officeDocument/2006/relationships/table" Target="../tables/table58.xml"/><Relationship Id="rId43" Type="http://schemas.openxmlformats.org/officeDocument/2006/relationships/table" Target="../tables/table66.xml"/><Relationship Id="rId48" Type="http://schemas.openxmlformats.org/officeDocument/2006/relationships/table" Target="../tables/table71.xml"/><Relationship Id="rId8" Type="http://schemas.openxmlformats.org/officeDocument/2006/relationships/table" Target="../tables/table31.xml"/><Relationship Id="rId51" Type="http://schemas.openxmlformats.org/officeDocument/2006/relationships/table" Target="../tables/table74.xml"/><Relationship Id="rId3" Type="http://schemas.openxmlformats.org/officeDocument/2006/relationships/table" Target="../tables/table26.xml"/><Relationship Id="rId12" Type="http://schemas.openxmlformats.org/officeDocument/2006/relationships/table" Target="../tables/table35.xml"/><Relationship Id="rId17" Type="http://schemas.openxmlformats.org/officeDocument/2006/relationships/table" Target="../tables/table40.xml"/><Relationship Id="rId25" Type="http://schemas.openxmlformats.org/officeDocument/2006/relationships/table" Target="../tables/table48.xml"/><Relationship Id="rId33" Type="http://schemas.openxmlformats.org/officeDocument/2006/relationships/table" Target="../tables/table56.xml"/><Relationship Id="rId38" Type="http://schemas.openxmlformats.org/officeDocument/2006/relationships/table" Target="../tables/table61.xml"/><Relationship Id="rId46" Type="http://schemas.openxmlformats.org/officeDocument/2006/relationships/table" Target="../tables/table69.xml"/><Relationship Id="rId20" Type="http://schemas.openxmlformats.org/officeDocument/2006/relationships/table" Target="../tables/table43.xml"/><Relationship Id="rId41" Type="http://schemas.openxmlformats.org/officeDocument/2006/relationships/table" Target="../tables/table6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6.xml"/><Relationship Id="rId7" Type="http://schemas.openxmlformats.org/officeDocument/2006/relationships/table" Target="../tables/table8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79.xml"/><Relationship Id="rId5" Type="http://schemas.openxmlformats.org/officeDocument/2006/relationships/table" Target="../tables/table78.xml"/><Relationship Id="rId4" Type="http://schemas.openxmlformats.org/officeDocument/2006/relationships/table" Target="../tables/table7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2.xml"/><Relationship Id="rId2" Type="http://schemas.openxmlformats.org/officeDocument/2006/relationships/table" Target="../tables/table81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63CFD-BCF6-4153-B64F-A161F1D22B6B}">
  <sheetPr codeName="Sheet1">
    <tabColor theme="3"/>
  </sheetPr>
  <dimension ref="A1:H147"/>
  <sheetViews>
    <sheetView topLeftCell="A33" workbookViewId="0">
      <selection activeCell="F66" sqref="F66"/>
    </sheetView>
  </sheetViews>
  <sheetFormatPr defaultColWidth="8.81640625" defaultRowHeight="14.5" x14ac:dyDescent="0.35"/>
  <cols>
    <col min="1" max="1" width="3.7265625" style="12" customWidth="1"/>
    <col min="2" max="2" width="15.7265625" style="12" bestFit="1" customWidth="1"/>
    <col min="3" max="3" width="11.7265625" style="12" bestFit="1" customWidth="1"/>
    <col min="4" max="4" width="16.453125" style="12" bestFit="1" customWidth="1"/>
    <col min="5" max="5" width="15.1796875" style="12" bestFit="1" customWidth="1"/>
    <col min="6" max="6" width="18.26953125" style="12" bestFit="1" customWidth="1"/>
    <col min="7" max="7" width="18.453125" style="12" bestFit="1" customWidth="1"/>
    <col min="8" max="16384" width="8.81640625" style="12"/>
  </cols>
  <sheetData>
    <row r="1" spans="1:7" ht="28.5" x14ac:dyDescent="0.65">
      <c r="A1" s="17" t="s">
        <v>0</v>
      </c>
      <c r="B1" s="204"/>
      <c r="C1" s="204"/>
      <c r="D1" s="204"/>
      <c r="E1" s="204"/>
      <c r="F1" s="204"/>
      <c r="G1" s="204"/>
    </row>
    <row r="3" spans="1:7" ht="18.5" x14ac:dyDescent="0.45">
      <c r="A3" s="16" t="s">
        <v>1</v>
      </c>
      <c r="B3" s="204"/>
      <c r="C3" s="204"/>
      <c r="D3" s="204"/>
      <c r="E3" s="204"/>
      <c r="F3" s="204"/>
      <c r="G3" s="204"/>
    </row>
    <row r="4" spans="1:7" x14ac:dyDescent="0.35">
      <c r="A4" s="204"/>
      <c r="B4" s="241" t="s">
        <v>2</v>
      </c>
      <c r="C4" s="241"/>
      <c r="D4" s="241"/>
      <c r="E4" s="241"/>
      <c r="F4" s="204"/>
      <c r="G4" s="204"/>
    </row>
    <row r="5" spans="1:7" x14ac:dyDescent="0.35">
      <c r="A5" s="204"/>
      <c r="B5" s="243" t="s">
        <v>3</v>
      </c>
      <c r="C5" s="243"/>
      <c r="D5" s="243"/>
      <c r="E5" s="243"/>
      <c r="F5" s="204"/>
      <c r="G5" s="204"/>
    </row>
    <row r="6" spans="1:7" x14ac:dyDescent="0.35">
      <c r="A6" s="204"/>
      <c r="B6" s="244" t="s">
        <v>4</v>
      </c>
      <c r="C6" s="244"/>
      <c r="D6" s="244"/>
      <c r="E6" s="244"/>
      <c r="F6" s="204"/>
      <c r="G6" s="204"/>
    </row>
    <row r="7" spans="1:7" x14ac:dyDescent="0.35">
      <c r="A7" s="204"/>
      <c r="B7" s="245" t="s">
        <v>5</v>
      </c>
      <c r="C7" s="245"/>
      <c r="D7" s="245"/>
      <c r="E7" s="245"/>
      <c r="F7" s="204"/>
      <c r="G7" s="204"/>
    </row>
    <row r="8" spans="1:7" x14ac:dyDescent="0.35">
      <c r="A8" s="204"/>
      <c r="B8" s="2" t="s">
        <v>6</v>
      </c>
      <c r="C8" s="246" t="s">
        <v>7</v>
      </c>
      <c r="D8" s="241"/>
      <c r="E8" s="241"/>
      <c r="F8" s="204"/>
      <c r="G8" s="204"/>
    </row>
    <row r="9" spans="1:7" x14ac:dyDescent="0.35">
      <c r="A9" s="204"/>
      <c r="B9" s="5" t="s">
        <v>8</v>
      </c>
      <c r="C9" s="247" t="s">
        <v>9</v>
      </c>
      <c r="D9" s="241"/>
      <c r="E9" s="241"/>
      <c r="F9" s="204"/>
      <c r="G9" s="204"/>
    </row>
    <row r="14" spans="1:7" ht="18.5" x14ac:dyDescent="0.45">
      <c r="A14" s="16" t="s">
        <v>10</v>
      </c>
      <c r="B14" s="204"/>
      <c r="C14" s="204"/>
      <c r="D14" s="204"/>
      <c r="E14" s="204"/>
      <c r="F14" s="204"/>
      <c r="G14" s="204"/>
    </row>
    <row r="15" spans="1:7" x14ac:dyDescent="0.35">
      <c r="A15" s="204"/>
      <c r="B15" t="s">
        <v>11</v>
      </c>
      <c r="C15" t="s">
        <v>12</v>
      </c>
      <c r="D15" t="s">
        <v>13</v>
      </c>
      <c r="E15" t="s">
        <v>14</v>
      </c>
      <c r="F15" t="s">
        <v>15</v>
      </c>
      <c r="G15" t="s">
        <v>16</v>
      </c>
    </row>
    <row r="16" spans="1:7" x14ac:dyDescent="0.35">
      <c r="A16" s="204"/>
      <c r="B16" t="s">
        <v>17</v>
      </c>
      <c r="C16" t="s">
        <v>18</v>
      </c>
      <c r="D16">
        <f>12+16+16</f>
        <v>44</v>
      </c>
      <c r="E16" s="6">
        <v>1.96</v>
      </c>
      <c r="F16" s="7">
        <f>E16/D16</f>
        <v>4.4545454545454548E-2</v>
      </c>
      <c r="G16" s="7">
        <f>1/F16</f>
        <v>22.448979591836732</v>
      </c>
    </row>
    <row r="17" spans="1:7" x14ac:dyDescent="0.35">
      <c r="A17" s="204"/>
      <c r="B17" t="s">
        <v>19</v>
      </c>
      <c r="C17" t="s">
        <v>20</v>
      </c>
      <c r="D17">
        <f>1+1</f>
        <v>2</v>
      </c>
      <c r="E17" s="6">
        <v>8.9880000000000002E-2</v>
      </c>
      <c r="F17" s="7">
        <f>E17/D17</f>
        <v>4.4940000000000001E-2</v>
      </c>
      <c r="G17" s="7">
        <f>1/F17</f>
        <v>22.251891410769915</v>
      </c>
    </row>
    <row r="18" spans="1:7" x14ac:dyDescent="0.35">
      <c r="A18" s="204"/>
      <c r="B18" t="s">
        <v>21</v>
      </c>
      <c r="C18" t="s">
        <v>22</v>
      </c>
      <c r="D18">
        <f>12+1+1+1+1</f>
        <v>16</v>
      </c>
      <c r="E18" s="6">
        <v>0.71599999999999997</v>
      </c>
      <c r="F18" s="7">
        <f>E18/D18</f>
        <v>4.4749999999999998E-2</v>
      </c>
      <c r="G18" s="7">
        <f>1/F18</f>
        <v>22.346368715083798</v>
      </c>
    </row>
    <row r="19" spans="1:7" x14ac:dyDescent="0.35">
      <c r="A19" s="204"/>
      <c r="B19" t="s">
        <v>23</v>
      </c>
      <c r="C19" t="s">
        <v>24</v>
      </c>
      <c r="D19">
        <f>16+16</f>
        <v>32</v>
      </c>
      <c r="E19" s="6">
        <v>1.429</v>
      </c>
      <c r="F19" s="7">
        <f>E19/D19</f>
        <v>4.4656250000000001E-2</v>
      </c>
      <c r="G19" s="7">
        <f>1/F19</f>
        <v>22.393282015395382</v>
      </c>
    </row>
    <row r="20" spans="1:7" x14ac:dyDescent="0.35">
      <c r="A20" s="204"/>
      <c r="B20" t="s">
        <v>25</v>
      </c>
      <c r="C20" t="s">
        <v>26</v>
      </c>
      <c r="D20">
        <f>1+1+16</f>
        <v>18</v>
      </c>
      <c r="E20" s="6">
        <v>1000</v>
      </c>
      <c r="F20" s="7">
        <f>E20/D20</f>
        <v>55.555555555555557</v>
      </c>
      <c r="G20" s="7">
        <f>1/F20</f>
        <v>1.7999999999999999E-2</v>
      </c>
    </row>
    <row r="23" spans="1:7" ht="18.5" x14ac:dyDescent="0.45">
      <c r="A23" s="16" t="s">
        <v>27</v>
      </c>
      <c r="B23" s="204"/>
      <c r="C23" s="204"/>
      <c r="D23" s="204"/>
      <c r="E23" s="204"/>
      <c r="F23" s="204"/>
      <c r="G23" s="204"/>
    </row>
    <row r="24" spans="1:7" x14ac:dyDescent="0.35">
      <c r="A24" s="204"/>
      <c r="B24" s="3" t="s">
        <v>28</v>
      </c>
      <c r="C24" s="4">
        <v>1</v>
      </c>
      <c r="D24" s="204"/>
      <c r="E24" s="204"/>
      <c r="F24" s="204"/>
      <c r="G24" s="204"/>
    </row>
    <row r="31" spans="1:7" ht="18.5" x14ac:dyDescent="0.45">
      <c r="A31" s="16" t="s">
        <v>29</v>
      </c>
      <c r="B31" s="204"/>
      <c r="C31" s="204"/>
      <c r="D31" s="204"/>
      <c r="E31" s="204"/>
      <c r="F31" s="204"/>
      <c r="G31" s="204"/>
    </row>
    <row r="32" spans="1:7" x14ac:dyDescent="0.35">
      <c r="A32" s="204"/>
      <c r="B32" t="s">
        <v>11</v>
      </c>
      <c r="C32" t="s">
        <v>30</v>
      </c>
      <c r="D32" t="s">
        <v>31</v>
      </c>
      <c r="E32" t="s">
        <v>32</v>
      </c>
      <c r="F32" t="s">
        <v>33</v>
      </c>
      <c r="G32" t="s">
        <v>34</v>
      </c>
    </row>
    <row r="33" spans="1:8" x14ac:dyDescent="0.35">
      <c r="A33" s="204"/>
      <c r="B33" t="s">
        <v>17</v>
      </c>
      <c r="C33" t="s">
        <v>35</v>
      </c>
      <c r="D33" t="s">
        <v>35</v>
      </c>
      <c r="E33">
        <v>124</v>
      </c>
      <c r="F33"/>
      <c r="G33">
        <f>ResourceStorageAndCompression[[#This Row],[Kj to Compress 1L]]*PowerFactor</f>
        <v>0</v>
      </c>
      <c r="H33" s="13" t="s">
        <v>36</v>
      </c>
    </row>
    <row r="34" spans="1:8" x14ac:dyDescent="0.35">
      <c r="A34" s="204"/>
      <c r="B34" t="s">
        <v>19</v>
      </c>
      <c r="C34" t="s">
        <v>35</v>
      </c>
      <c r="D34" t="s">
        <v>37</v>
      </c>
      <c r="E34">
        <v>851</v>
      </c>
      <c r="F34"/>
      <c r="G34">
        <f>ResourceStorageAndCompression[[#This Row],[Kj to Compress 1L]]*PowerFactor</f>
        <v>0</v>
      </c>
      <c r="H34" s="14" t="s">
        <v>38</v>
      </c>
    </row>
    <row r="35" spans="1:8" x14ac:dyDescent="0.35">
      <c r="A35" s="204"/>
      <c r="B35" t="s">
        <v>21</v>
      </c>
      <c r="C35" t="s">
        <v>35</v>
      </c>
      <c r="D35" t="s">
        <v>37</v>
      </c>
      <c r="E35">
        <v>627</v>
      </c>
      <c r="F35"/>
      <c r="G35">
        <f>ResourceStorageAndCompression[[#This Row],[Kj to Compress 1L]]*PowerFactor</f>
        <v>0</v>
      </c>
      <c r="H35" s="13" t="s">
        <v>39</v>
      </c>
    </row>
    <row r="36" spans="1:8" x14ac:dyDescent="0.35">
      <c r="A36" s="204"/>
      <c r="B36" t="s">
        <v>23</v>
      </c>
      <c r="C36" t="s">
        <v>35</v>
      </c>
      <c r="D36" t="s">
        <v>37</v>
      </c>
      <c r="E36">
        <v>860</v>
      </c>
      <c r="F36"/>
      <c r="G36">
        <f>ResourceStorageAndCompression[[#This Row],[Kj to Compress 1L]]*PowerFactor</f>
        <v>0</v>
      </c>
      <c r="H36" s="14" t="s">
        <v>40</v>
      </c>
    </row>
    <row r="37" spans="1:8" x14ac:dyDescent="0.35">
      <c r="A37" s="204"/>
      <c r="B37" t="s">
        <v>25</v>
      </c>
      <c r="C37" t="s">
        <v>37</v>
      </c>
      <c r="D37" t="s">
        <v>37</v>
      </c>
      <c r="E37">
        <v>1</v>
      </c>
      <c r="F37">
        <v>0</v>
      </c>
      <c r="G37">
        <f>ResourceStorageAndCompression[[#This Row],[Kj to Compress 1L]]*PowerFactor</f>
        <v>0</v>
      </c>
      <c r="H37" s="15" t="s">
        <v>41</v>
      </c>
    </row>
    <row r="40" spans="1:8" ht="18.5" x14ac:dyDescent="0.45">
      <c r="A40" s="16" t="s">
        <v>42</v>
      </c>
      <c r="B40" s="204"/>
      <c r="C40" s="204"/>
      <c r="D40" s="204"/>
      <c r="E40" s="204"/>
      <c r="F40" s="204"/>
      <c r="G40" s="204"/>
      <c r="H40" s="204"/>
    </row>
    <row r="41" spans="1:8" x14ac:dyDescent="0.35">
      <c r="A41" s="204"/>
      <c r="B41" t="s">
        <v>43</v>
      </c>
      <c r="C41" s="242"/>
      <c r="D41" s="242"/>
      <c r="E41" s="204"/>
      <c r="F41" s="204"/>
      <c r="G41" s="204"/>
      <c r="H41" s="204"/>
    </row>
    <row r="42" spans="1:8" x14ac:dyDescent="0.35">
      <c r="A42" s="204"/>
      <c r="B42" t="s">
        <v>44</v>
      </c>
      <c r="C42" s="204"/>
      <c r="D42" s="204"/>
      <c r="E42" s="204"/>
      <c r="F42" s="204"/>
      <c r="G42" s="204"/>
      <c r="H42" s="204"/>
    </row>
    <row r="43" spans="1:8" x14ac:dyDescent="0.35">
      <c r="A43" s="204"/>
      <c r="B43" t="s">
        <v>45</v>
      </c>
      <c r="C43" s="204"/>
      <c r="D43" s="204"/>
      <c r="E43" s="204"/>
      <c r="F43" s="204"/>
      <c r="G43" s="204"/>
      <c r="H43" s="204"/>
    </row>
    <row r="44" spans="1:8" x14ac:dyDescent="0.35">
      <c r="A44" s="204"/>
      <c r="B44" t="s">
        <v>46</v>
      </c>
      <c r="C44" s="204"/>
      <c r="D44" s="204"/>
      <c r="E44" s="32"/>
      <c r="F44" s="204"/>
      <c r="G44" s="204"/>
      <c r="H44" s="204"/>
    </row>
    <row r="46" spans="1:8" ht="18.5" x14ac:dyDescent="0.45">
      <c r="A46" s="16" t="s">
        <v>47</v>
      </c>
      <c r="B46" s="204"/>
      <c r="C46" s="204"/>
      <c r="D46" s="204"/>
      <c r="E46" s="204"/>
      <c r="F46" s="204"/>
      <c r="G46" s="204"/>
      <c r="H46" s="204"/>
    </row>
    <row r="47" spans="1:8" x14ac:dyDescent="0.35">
      <c r="A47" s="204"/>
      <c r="B47" t="s">
        <v>48</v>
      </c>
      <c r="C47" t="s">
        <v>49</v>
      </c>
      <c r="D47" s="204"/>
      <c r="E47" s="204"/>
      <c r="F47" s="204"/>
      <c r="G47" s="204"/>
      <c r="H47" s="204"/>
    </row>
    <row r="48" spans="1:8" x14ac:dyDescent="0.35">
      <c r="A48" s="204"/>
      <c r="B48">
        <v>5</v>
      </c>
      <c r="C48">
        <v>6</v>
      </c>
      <c r="D48" s="204"/>
      <c r="E48" s="204"/>
      <c r="F48" s="204"/>
      <c r="G48" s="204"/>
      <c r="H48" s="204"/>
    </row>
    <row r="49" spans="2:3" x14ac:dyDescent="0.35">
      <c r="B49">
        <v>10</v>
      </c>
      <c r="C49">
        <v>12</v>
      </c>
    </row>
    <row r="50" spans="2:3" x14ac:dyDescent="0.35">
      <c r="B50">
        <v>15</v>
      </c>
      <c r="C50">
        <v>18</v>
      </c>
    </row>
    <row r="51" spans="2:3" x14ac:dyDescent="0.35">
      <c r="B51">
        <v>20</v>
      </c>
      <c r="C51">
        <v>24</v>
      </c>
    </row>
    <row r="52" spans="2:3" x14ac:dyDescent="0.35">
      <c r="B52">
        <v>25</v>
      </c>
      <c r="C52">
        <v>30</v>
      </c>
    </row>
    <row r="53" spans="2:3" x14ac:dyDescent="0.35">
      <c r="B53">
        <v>30</v>
      </c>
      <c r="C53">
        <v>36</v>
      </c>
    </row>
    <row r="54" spans="2:3" x14ac:dyDescent="0.35">
      <c r="B54">
        <v>35</v>
      </c>
      <c r="C54">
        <v>42</v>
      </c>
    </row>
    <row r="55" spans="2:3" x14ac:dyDescent="0.35">
      <c r="B55">
        <v>40</v>
      </c>
      <c r="C55">
        <v>48</v>
      </c>
    </row>
    <row r="56" spans="2:3" x14ac:dyDescent="0.35">
      <c r="B56">
        <v>45</v>
      </c>
      <c r="C56">
        <v>54</v>
      </c>
    </row>
    <row r="57" spans="2:3" x14ac:dyDescent="0.35">
      <c r="B57">
        <v>50</v>
      </c>
      <c r="C57">
        <v>60</v>
      </c>
    </row>
    <row r="58" spans="2:3" x14ac:dyDescent="0.35">
      <c r="B58">
        <v>55</v>
      </c>
      <c r="C58">
        <v>66</v>
      </c>
    </row>
    <row r="59" spans="2:3" x14ac:dyDescent="0.35">
      <c r="B59">
        <v>60</v>
      </c>
      <c r="C59">
        <v>72</v>
      </c>
    </row>
    <row r="60" spans="2:3" x14ac:dyDescent="0.35">
      <c r="B60">
        <v>65</v>
      </c>
      <c r="C60">
        <v>78</v>
      </c>
    </row>
    <row r="61" spans="2:3" x14ac:dyDescent="0.35">
      <c r="B61">
        <v>70</v>
      </c>
      <c r="C61">
        <v>84</v>
      </c>
    </row>
    <row r="62" spans="2:3" x14ac:dyDescent="0.35">
      <c r="B62">
        <v>75</v>
      </c>
      <c r="C62">
        <v>90</v>
      </c>
    </row>
    <row r="63" spans="2:3" x14ac:dyDescent="0.35">
      <c r="B63">
        <v>80</v>
      </c>
      <c r="C63">
        <v>96</v>
      </c>
    </row>
    <row r="64" spans="2:3" x14ac:dyDescent="0.35">
      <c r="B64">
        <v>85</v>
      </c>
      <c r="C64">
        <v>102</v>
      </c>
    </row>
    <row r="65" spans="2:3" x14ac:dyDescent="0.35">
      <c r="B65">
        <v>90</v>
      </c>
      <c r="C65">
        <v>108</v>
      </c>
    </row>
    <row r="66" spans="2:3" x14ac:dyDescent="0.35">
      <c r="B66">
        <v>95</v>
      </c>
      <c r="C66">
        <v>114</v>
      </c>
    </row>
    <row r="67" spans="2:3" x14ac:dyDescent="0.35">
      <c r="B67">
        <v>100</v>
      </c>
      <c r="C67">
        <v>120</v>
      </c>
    </row>
    <row r="68" spans="2:3" x14ac:dyDescent="0.35">
      <c r="B68">
        <v>105</v>
      </c>
      <c r="C68">
        <v>126</v>
      </c>
    </row>
    <row r="69" spans="2:3" x14ac:dyDescent="0.35">
      <c r="B69">
        <v>110</v>
      </c>
      <c r="C69">
        <v>132</v>
      </c>
    </row>
    <row r="70" spans="2:3" x14ac:dyDescent="0.35">
      <c r="B70">
        <v>115</v>
      </c>
      <c r="C70">
        <v>138</v>
      </c>
    </row>
    <row r="71" spans="2:3" x14ac:dyDescent="0.35">
      <c r="B71">
        <v>120</v>
      </c>
      <c r="C71">
        <v>144</v>
      </c>
    </row>
    <row r="72" spans="2:3" x14ac:dyDescent="0.35">
      <c r="B72">
        <v>125</v>
      </c>
      <c r="C72">
        <v>150</v>
      </c>
    </row>
    <row r="73" spans="2:3" x14ac:dyDescent="0.35">
      <c r="B73">
        <v>130</v>
      </c>
      <c r="C73">
        <v>156</v>
      </c>
    </row>
    <row r="74" spans="2:3" x14ac:dyDescent="0.35">
      <c r="B74">
        <v>135</v>
      </c>
      <c r="C74">
        <v>162</v>
      </c>
    </row>
    <row r="75" spans="2:3" x14ac:dyDescent="0.35">
      <c r="B75">
        <v>140</v>
      </c>
      <c r="C75">
        <v>168</v>
      </c>
    </row>
    <row r="76" spans="2:3" x14ac:dyDescent="0.35">
      <c r="B76">
        <v>145</v>
      </c>
      <c r="C76">
        <v>174</v>
      </c>
    </row>
    <row r="77" spans="2:3" x14ac:dyDescent="0.35">
      <c r="B77">
        <v>150</v>
      </c>
      <c r="C77">
        <v>180</v>
      </c>
    </row>
    <row r="78" spans="2:3" x14ac:dyDescent="0.35">
      <c r="B78">
        <v>155</v>
      </c>
      <c r="C78">
        <v>186</v>
      </c>
    </row>
    <row r="79" spans="2:3" x14ac:dyDescent="0.35">
      <c r="B79">
        <v>160</v>
      </c>
      <c r="C79">
        <v>192</v>
      </c>
    </row>
    <row r="80" spans="2:3" x14ac:dyDescent="0.35">
      <c r="B80">
        <v>165</v>
      </c>
      <c r="C80">
        <v>198</v>
      </c>
    </row>
    <row r="81" spans="2:3" x14ac:dyDescent="0.35">
      <c r="B81">
        <v>170</v>
      </c>
      <c r="C81">
        <v>204</v>
      </c>
    </row>
    <row r="82" spans="2:3" x14ac:dyDescent="0.35">
      <c r="B82">
        <v>175</v>
      </c>
      <c r="C82">
        <v>210</v>
      </c>
    </row>
    <row r="83" spans="2:3" x14ac:dyDescent="0.35">
      <c r="B83">
        <v>180</v>
      </c>
      <c r="C83">
        <v>216</v>
      </c>
    </row>
    <row r="84" spans="2:3" x14ac:dyDescent="0.35">
      <c r="B84">
        <v>185</v>
      </c>
      <c r="C84">
        <v>222</v>
      </c>
    </row>
    <row r="85" spans="2:3" x14ac:dyDescent="0.35">
      <c r="B85">
        <v>190</v>
      </c>
      <c r="C85">
        <v>228</v>
      </c>
    </row>
    <row r="86" spans="2:3" x14ac:dyDescent="0.35">
      <c r="B86">
        <v>195</v>
      </c>
      <c r="C86">
        <v>234</v>
      </c>
    </row>
    <row r="87" spans="2:3" x14ac:dyDescent="0.35">
      <c r="B87">
        <v>200</v>
      </c>
      <c r="C87">
        <v>240</v>
      </c>
    </row>
    <row r="88" spans="2:3" x14ac:dyDescent="0.35">
      <c r="B88">
        <v>205</v>
      </c>
      <c r="C88">
        <v>246</v>
      </c>
    </row>
    <row r="89" spans="2:3" x14ac:dyDescent="0.35">
      <c r="B89">
        <v>210</v>
      </c>
      <c r="C89">
        <v>252</v>
      </c>
    </row>
    <row r="90" spans="2:3" x14ac:dyDescent="0.35">
      <c r="B90">
        <v>215</v>
      </c>
      <c r="C90">
        <v>258</v>
      </c>
    </row>
    <row r="91" spans="2:3" x14ac:dyDescent="0.35">
      <c r="B91">
        <v>220</v>
      </c>
      <c r="C91">
        <v>264</v>
      </c>
    </row>
    <row r="92" spans="2:3" x14ac:dyDescent="0.35">
      <c r="B92">
        <v>225</v>
      </c>
      <c r="C92">
        <v>270</v>
      </c>
    </row>
    <row r="93" spans="2:3" x14ac:dyDescent="0.35">
      <c r="B93">
        <v>230</v>
      </c>
      <c r="C93">
        <v>276</v>
      </c>
    </row>
    <row r="94" spans="2:3" x14ac:dyDescent="0.35">
      <c r="B94">
        <v>235</v>
      </c>
      <c r="C94">
        <v>282</v>
      </c>
    </row>
    <row r="95" spans="2:3" x14ac:dyDescent="0.35">
      <c r="B95">
        <v>240</v>
      </c>
      <c r="C95">
        <v>288</v>
      </c>
    </row>
    <row r="96" spans="2:3" x14ac:dyDescent="0.35">
      <c r="B96">
        <v>245</v>
      </c>
      <c r="C96">
        <v>294</v>
      </c>
    </row>
    <row r="97" spans="2:3" x14ac:dyDescent="0.35">
      <c r="B97">
        <v>250</v>
      </c>
      <c r="C97">
        <v>300</v>
      </c>
    </row>
    <row r="98" spans="2:3" x14ac:dyDescent="0.35">
      <c r="B98">
        <v>255</v>
      </c>
      <c r="C98">
        <v>306</v>
      </c>
    </row>
    <row r="99" spans="2:3" x14ac:dyDescent="0.35">
      <c r="B99">
        <v>260</v>
      </c>
      <c r="C99">
        <v>312</v>
      </c>
    </row>
    <row r="100" spans="2:3" x14ac:dyDescent="0.35">
      <c r="B100">
        <v>265</v>
      </c>
      <c r="C100">
        <v>318</v>
      </c>
    </row>
    <row r="101" spans="2:3" x14ac:dyDescent="0.35">
      <c r="B101">
        <v>270</v>
      </c>
      <c r="C101">
        <v>324</v>
      </c>
    </row>
    <row r="102" spans="2:3" x14ac:dyDescent="0.35">
      <c r="B102">
        <v>275</v>
      </c>
      <c r="C102">
        <v>330</v>
      </c>
    </row>
    <row r="103" spans="2:3" x14ac:dyDescent="0.35">
      <c r="B103">
        <v>280</v>
      </c>
      <c r="C103">
        <v>336</v>
      </c>
    </row>
    <row r="104" spans="2:3" x14ac:dyDescent="0.35">
      <c r="B104">
        <v>285</v>
      </c>
      <c r="C104">
        <v>342</v>
      </c>
    </row>
    <row r="105" spans="2:3" x14ac:dyDescent="0.35">
      <c r="B105">
        <v>290</v>
      </c>
      <c r="C105">
        <v>348</v>
      </c>
    </row>
    <row r="106" spans="2:3" x14ac:dyDescent="0.35">
      <c r="B106">
        <v>295</v>
      </c>
      <c r="C106">
        <v>354</v>
      </c>
    </row>
    <row r="107" spans="2:3" x14ac:dyDescent="0.35">
      <c r="B107">
        <v>300</v>
      </c>
      <c r="C107">
        <v>360</v>
      </c>
    </row>
    <row r="108" spans="2:3" x14ac:dyDescent="0.35">
      <c r="B108">
        <v>305</v>
      </c>
      <c r="C108">
        <v>366</v>
      </c>
    </row>
    <row r="109" spans="2:3" x14ac:dyDescent="0.35">
      <c r="B109">
        <v>310</v>
      </c>
      <c r="C109">
        <v>372</v>
      </c>
    </row>
    <row r="110" spans="2:3" x14ac:dyDescent="0.35">
      <c r="B110">
        <v>315</v>
      </c>
      <c r="C110">
        <v>378</v>
      </c>
    </row>
    <row r="111" spans="2:3" x14ac:dyDescent="0.35">
      <c r="B111">
        <v>320</v>
      </c>
      <c r="C111">
        <v>384</v>
      </c>
    </row>
    <row r="112" spans="2:3" x14ac:dyDescent="0.35">
      <c r="B112">
        <v>325</v>
      </c>
      <c r="C112">
        <v>390</v>
      </c>
    </row>
    <row r="113" spans="2:3" x14ac:dyDescent="0.35">
      <c r="B113">
        <v>330</v>
      </c>
      <c r="C113">
        <v>396</v>
      </c>
    </row>
    <row r="114" spans="2:3" x14ac:dyDescent="0.35">
      <c r="B114">
        <v>335</v>
      </c>
      <c r="C114">
        <v>402</v>
      </c>
    </row>
    <row r="115" spans="2:3" x14ac:dyDescent="0.35">
      <c r="B115">
        <v>340</v>
      </c>
      <c r="C115">
        <v>408</v>
      </c>
    </row>
    <row r="116" spans="2:3" x14ac:dyDescent="0.35">
      <c r="B116">
        <v>345</v>
      </c>
      <c r="C116">
        <v>414</v>
      </c>
    </row>
    <row r="117" spans="2:3" x14ac:dyDescent="0.35">
      <c r="B117">
        <v>350</v>
      </c>
      <c r="C117">
        <v>420</v>
      </c>
    </row>
    <row r="118" spans="2:3" x14ac:dyDescent="0.35">
      <c r="B118">
        <v>355</v>
      </c>
      <c r="C118">
        <v>426</v>
      </c>
    </row>
    <row r="119" spans="2:3" x14ac:dyDescent="0.35">
      <c r="B119">
        <v>360</v>
      </c>
      <c r="C119">
        <v>432</v>
      </c>
    </row>
    <row r="120" spans="2:3" x14ac:dyDescent="0.35">
      <c r="B120">
        <v>365</v>
      </c>
      <c r="C120">
        <v>438</v>
      </c>
    </row>
    <row r="121" spans="2:3" x14ac:dyDescent="0.35">
      <c r="B121">
        <v>370</v>
      </c>
      <c r="C121">
        <v>444</v>
      </c>
    </row>
    <row r="122" spans="2:3" x14ac:dyDescent="0.35">
      <c r="B122">
        <v>375</v>
      </c>
      <c r="C122">
        <v>450</v>
      </c>
    </row>
    <row r="123" spans="2:3" x14ac:dyDescent="0.35">
      <c r="B123">
        <v>380</v>
      </c>
      <c r="C123">
        <v>456</v>
      </c>
    </row>
    <row r="124" spans="2:3" x14ac:dyDescent="0.35">
      <c r="B124">
        <v>385</v>
      </c>
      <c r="C124">
        <v>462</v>
      </c>
    </row>
    <row r="125" spans="2:3" x14ac:dyDescent="0.35">
      <c r="B125">
        <v>390</v>
      </c>
      <c r="C125">
        <v>468</v>
      </c>
    </row>
    <row r="126" spans="2:3" x14ac:dyDescent="0.35">
      <c r="B126">
        <v>395</v>
      </c>
      <c r="C126">
        <v>474</v>
      </c>
    </row>
    <row r="127" spans="2:3" x14ac:dyDescent="0.35">
      <c r="B127">
        <v>400</v>
      </c>
      <c r="C127">
        <v>480</v>
      </c>
    </row>
    <row r="128" spans="2:3" x14ac:dyDescent="0.35">
      <c r="B128">
        <v>405</v>
      </c>
      <c r="C128">
        <v>486</v>
      </c>
    </row>
    <row r="129" spans="2:3" x14ac:dyDescent="0.35">
      <c r="B129">
        <v>410</v>
      </c>
      <c r="C129">
        <v>492</v>
      </c>
    </row>
    <row r="130" spans="2:3" x14ac:dyDescent="0.35">
      <c r="B130">
        <v>415</v>
      </c>
      <c r="C130">
        <v>498</v>
      </c>
    </row>
    <row r="131" spans="2:3" x14ac:dyDescent="0.35">
      <c r="B131">
        <v>420</v>
      </c>
      <c r="C131">
        <v>504</v>
      </c>
    </row>
    <row r="132" spans="2:3" x14ac:dyDescent="0.35">
      <c r="B132">
        <v>425</v>
      </c>
      <c r="C132">
        <v>510</v>
      </c>
    </row>
    <row r="133" spans="2:3" x14ac:dyDescent="0.35">
      <c r="B133">
        <v>430</v>
      </c>
      <c r="C133">
        <v>516</v>
      </c>
    </row>
    <row r="134" spans="2:3" x14ac:dyDescent="0.35">
      <c r="B134">
        <v>435</v>
      </c>
      <c r="C134">
        <v>522</v>
      </c>
    </row>
    <row r="135" spans="2:3" x14ac:dyDescent="0.35">
      <c r="B135">
        <v>440</v>
      </c>
      <c r="C135">
        <v>528</v>
      </c>
    </row>
    <row r="136" spans="2:3" x14ac:dyDescent="0.35">
      <c r="B136">
        <v>445</v>
      </c>
      <c r="C136">
        <v>534</v>
      </c>
    </row>
    <row r="137" spans="2:3" x14ac:dyDescent="0.35">
      <c r="B137">
        <v>450</v>
      </c>
      <c r="C137">
        <v>540</v>
      </c>
    </row>
    <row r="138" spans="2:3" x14ac:dyDescent="0.35">
      <c r="B138">
        <v>455</v>
      </c>
      <c r="C138">
        <v>546</v>
      </c>
    </row>
    <row r="139" spans="2:3" x14ac:dyDescent="0.35">
      <c r="B139">
        <v>460</v>
      </c>
      <c r="C139">
        <v>552</v>
      </c>
    </row>
    <row r="140" spans="2:3" x14ac:dyDescent="0.35">
      <c r="B140">
        <v>465</v>
      </c>
      <c r="C140">
        <v>558</v>
      </c>
    </row>
    <row r="141" spans="2:3" x14ac:dyDescent="0.35">
      <c r="B141">
        <v>470</v>
      </c>
      <c r="C141">
        <v>564</v>
      </c>
    </row>
    <row r="142" spans="2:3" x14ac:dyDescent="0.35">
      <c r="B142">
        <v>475</v>
      </c>
      <c r="C142">
        <v>570</v>
      </c>
    </row>
    <row r="143" spans="2:3" x14ac:dyDescent="0.35">
      <c r="B143">
        <v>480</v>
      </c>
      <c r="C143">
        <v>576</v>
      </c>
    </row>
    <row r="144" spans="2:3" x14ac:dyDescent="0.35">
      <c r="B144">
        <v>485</v>
      </c>
      <c r="C144">
        <v>582</v>
      </c>
    </row>
    <row r="145" spans="2:3" x14ac:dyDescent="0.35">
      <c r="B145">
        <v>490</v>
      </c>
      <c r="C145">
        <v>588</v>
      </c>
    </row>
    <row r="146" spans="2:3" x14ac:dyDescent="0.35">
      <c r="B146">
        <v>495</v>
      </c>
      <c r="C146">
        <v>594</v>
      </c>
    </row>
    <row r="147" spans="2:3" x14ac:dyDescent="0.35">
      <c r="B147">
        <v>500</v>
      </c>
      <c r="C147">
        <v>600</v>
      </c>
    </row>
  </sheetData>
  <mergeCells count="7">
    <mergeCell ref="B4:E4"/>
    <mergeCell ref="C41:D41"/>
    <mergeCell ref="B5:E5"/>
    <mergeCell ref="B6:E6"/>
    <mergeCell ref="B7:E7"/>
    <mergeCell ref="C8:E8"/>
    <mergeCell ref="C9:E9"/>
  </mergeCells>
  <hyperlinks>
    <hyperlink ref="H33" r:id="rId1" xr:uid="{3FD65651-9494-47F4-B22A-16AC65954BA6}"/>
    <hyperlink ref="H34" r:id="rId2" xr:uid="{E4D4E6F7-37B6-43ED-A10A-4A765334826E}"/>
    <hyperlink ref="H35" r:id="rId3" xr:uid="{2D7FD234-24D0-4A1A-9437-F3B6473923AE}"/>
    <hyperlink ref="H37" r:id="rId4" xr:uid="{D71FE153-470C-4BF2-BA17-28AA9BBDDFDF}"/>
    <hyperlink ref="H36" r:id="rId5" xr:uid="{5E1EF912-1958-49EE-9B63-3F18B5C0846A}"/>
  </hyperlinks>
  <pageMargins left="0.7" right="0.7" top="0.75" bottom="0.75" header="0.3" footer="0.3"/>
  <drawing r:id="rId6"/>
  <tableParts count="4"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0CC62-C6C0-4F3C-B271-911B1319A31C}">
  <sheetPr codeName="Sheet2">
    <tabColor theme="4"/>
  </sheetPr>
  <dimension ref="A1:G30"/>
  <sheetViews>
    <sheetView workbookViewId="0">
      <pane ySplit="1" topLeftCell="A5" activePane="bottomLeft" state="frozen"/>
      <selection pane="bottomLeft" activeCell="E30" sqref="E30"/>
    </sheetView>
  </sheetViews>
  <sheetFormatPr defaultColWidth="8.81640625" defaultRowHeight="14.5" x14ac:dyDescent="0.35"/>
  <cols>
    <col min="1" max="1" width="4.453125" style="12" customWidth="1"/>
    <col min="2" max="2" width="9.1796875" style="12" bestFit="1" customWidth="1"/>
    <col min="3" max="5" width="20.7265625" style="12" bestFit="1" customWidth="1"/>
    <col min="6" max="6" width="12" style="12" bestFit="1" customWidth="1"/>
    <col min="7" max="7" width="11.26953125" style="12" customWidth="1"/>
    <col min="8" max="16384" width="8.81640625" style="12"/>
  </cols>
  <sheetData>
    <row r="1" spans="1:7" ht="28.5" x14ac:dyDescent="0.65">
      <c r="A1" s="17" t="s">
        <v>50</v>
      </c>
      <c r="B1" s="204"/>
      <c r="C1" s="204"/>
      <c r="D1" s="204"/>
      <c r="E1" s="204"/>
      <c r="F1" s="204"/>
      <c r="G1" s="204"/>
    </row>
    <row r="2" spans="1:7" x14ac:dyDescent="0.35">
      <c r="A2" s="13" t="s">
        <v>51</v>
      </c>
      <c r="B2" s="204"/>
      <c r="C2" s="204"/>
      <c r="D2" s="204"/>
      <c r="E2" s="204"/>
      <c r="F2" s="204"/>
      <c r="G2" s="204"/>
    </row>
    <row r="3" spans="1:7" x14ac:dyDescent="0.35">
      <c r="A3" s="13"/>
      <c r="B3" s="204"/>
      <c r="C3" s="204"/>
      <c r="D3" s="204"/>
      <c r="E3" s="204"/>
      <c r="F3" s="204"/>
      <c r="G3" s="204"/>
    </row>
    <row r="4" spans="1:7" ht="18.5" x14ac:dyDescent="0.45">
      <c r="A4" s="16" t="s">
        <v>52</v>
      </c>
      <c r="B4" s="204"/>
      <c r="C4" s="204"/>
      <c r="D4" s="204"/>
      <c r="E4" s="204"/>
      <c r="F4" s="204"/>
      <c r="G4" s="204"/>
    </row>
    <row r="5" spans="1:7" x14ac:dyDescent="0.35">
      <c r="A5" s="204"/>
      <c r="B5" s="204"/>
      <c r="C5" s="248" t="s">
        <v>53</v>
      </c>
      <c r="D5" s="249"/>
      <c r="E5" s="250" t="s">
        <v>54</v>
      </c>
      <c r="F5" s="250"/>
      <c r="G5" s="204"/>
    </row>
    <row r="6" spans="1:7" x14ac:dyDescent="0.35">
      <c r="A6" s="204"/>
      <c r="B6" s="1" t="s">
        <v>55</v>
      </c>
      <c r="C6" s="1" t="s">
        <v>20</v>
      </c>
      <c r="D6" s="10" t="s">
        <v>24</v>
      </c>
      <c r="E6" s="1" t="s">
        <v>26</v>
      </c>
      <c r="F6" s="1" t="s">
        <v>56</v>
      </c>
      <c r="G6" s="201" t="s">
        <v>57</v>
      </c>
    </row>
    <row r="7" spans="1:7" x14ac:dyDescent="0.35">
      <c r="A7" s="204"/>
      <c r="B7" s="1" t="s">
        <v>58</v>
      </c>
      <c r="C7" s="1">
        <v>2</v>
      </c>
      <c r="D7" s="10">
        <v>1</v>
      </c>
      <c r="E7" s="1">
        <v>2</v>
      </c>
      <c r="F7" s="8">
        <f>237.13*FuelCell_Ideal[[#This Row],[H2O]]</f>
        <v>474.26</v>
      </c>
      <c r="G7" s="203" t="s">
        <v>59</v>
      </c>
    </row>
    <row r="8" spans="1:7" x14ac:dyDescent="0.35">
      <c r="A8" s="204"/>
      <c r="B8" s="1" t="s">
        <v>60</v>
      </c>
      <c r="C8" s="1">
        <f>INDEX(MolecularWeightsAndMesures[Litres in 1 mol],MATCH('Fuel Cell'!C6,MolecularWeightsAndMesures[Formula],0))*'Fuel Cell'!C7</f>
        <v>44.503782821539829</v>
      </c>
      <c r="D8" s="10">
        <f>INDEX(MolecularWeightsAndMesures[Litres in 1 mol],MATCH('Fuel Cell'!D6,MolecularWeightsAndMesures[Formula],0))*'Fuel Cell'!D7</f>
        <v>22.393282015395382</v>
      </c>
      <c r="E8" s="1">
        <f>INDEX(MolecularWeightsAndMesures[Litres in 1 mol],MATCH('Fuel Cell'!E6,MolecularWeightsAndMesures[Formula],0))*'Fuel Cell'!E7</f>
        <v>3.5999999999999997E-2</v>
      </c>
      <c r="F8" s="8">
        <f>F7</f>
        <v>474.26</v>
      </c>
      <c r="G8" s="201"/>
    </row>
    <row r="11" spans="1:7" ht="18.5" x14ac:dyDescent="0.45">
      <c r="A11" s="16" t="s">
        <v>61</v>
      </c>
      <c r="B11" s="204"/>
      <c r="C11" s="204"/>
      <c r="D11" s="204"/>
      <c r="E11" s="204"/>
      <c r="F11" s="204"/>
      <c r="G11" s="204"/>
    </row>
    <row r="12" spans="1:7" x14ac:dyDescent="0.35">
      <c r="A12" s="204"/>
      <c r="B12" s="18" t="s">
        <v>62</v>
      </c>
      <c r="C12" s="9">
        <v>0.55000000000000004</v>
      </c>
      <c r="D12" s="203" t="s">
        <v>59</v>
      </c>
      <c r="E12" s="204"/>
      <c r="F12" s="204"/>
      <c r="G12" s="18"/>
    </row>
    <row r="13" spans="1:7" x14ac:dyDescent="0.35">
      <c r="A13" s="204"/>
      <c r="B13" s="204"/>
      <c r="C13" s="248" t="s">
        <v>53</v>
      </c>
      <c r="D13" s="249"/>
      <c r="E13" s="250" t="s">
        <v>54</v>
      </c>
      <c r="F13" s="250"/>
      <c r="G13" s="251"/>
    </row>
    <row r="14" spans="1:7" x14ac:dyDescent="0.35">
      <c r="A14" s="204"/>
      <c r="B14" s="1" t="s">
        <v>55</v>
      </c>
      <c r="C14" s="1" t="s">
        <v>20</v>
      </c>
      <c r="D14" s="10" t="s">
        <v>24</v>
      </c>
      <c r="E14" s="1" t="s">
        <v>26</v>
      </c>
      <c r="F14" s="1" t="s">
        <v>56</v>
      </c>
      <c r="G14" s="1" t="s">
        <v>63</v>
      </c>
    </row>
    <row r="15" spans="1:7" x14ac:dyDescent="0.35">
      <c r="A15" s="204"/>
      <c r="B15" s="1" t="s">
        <v>58</v>
      </c>
      <c r="C15" s="1">
        <v>2</v>
      </c>
      <c r="D15" s="10">
        <v>1</v>
      </c>
      <c r="E15" s="1">
        <v>2</v>
      </c>
      <c r="F15" s="8">
        <f>F7*FuelCell_Efficency</f>
        <v>260.84300000000002</v>
      </c>
      <c r="G15" s="8">
        <f>F7*(1-FuelCell_Efficency)</f>
        <v>213.41699999999997</v>
      </c>
    </row>
    <row r="16" spans="1:7" x14ac:dyDescent="0.35">
      <c r="A16" s="204"/>
      <c r="B16" s="1" t="s">
        <v>60</v>
      </c>
      <c r="C16" s="1">
        <f>INDEX(MolecularWeightsAndMesures[Litres in 1 mol],MATCH('Fuel Cell'!C14,MolecularWeightsAndMesures[Formula],0))*'Fuel Cell'!C15</f>
        <v>44.503782821539829</v>
      </c>
      <c r="D16" s="10">
        <f>INDEX(MolecularWeightsAndMesures[Litres in 1 mol],MATCH('Fuel Cell'!D14,MolecularWeightsAndMesures[Formula],0))*'Fuel Cell'!D15</f>
        <v>22.393282015395382</v>
      </c>
      <c r="E16" s="1">
        <f>INDEX(MolecularWeightsAndMesures[Litres in 1 mol],MATCH('Fuel Cell'!E14,MolecularWeightsAndMesures[Formula],0))*'Fuel Cell'!E15</f>
        <v>3.5999999999999997E-2</v>
      </c>
      <c r="F16" s="8">
        <f>F15</f>
        <v>260.84300000000002</v>
      </c>
      <c r="G16" s="8">
        <f>G15</f>
        <v>213.41699999999997</v>
      </c>
    </row>
    <row r="19" spans="1:7" ht="18.5" x14ac:dyDescent="0.45">
      <c r="A19" s="16" t="s">
        <v>64</v>
      </c>
      <c r="B19" s="204"/>
      <c r="C19" s="204"/>
      <c r="D19" s="204"/>
      <c r="E19" s="204"/>
      <c r="F19" s="204"/>
      <c r="G19" s="204"/>
    </row>
    <row r="20" spans="1:7" x14ac:dyDescent="0.35">
      <c r="A20" s="204"/>
      <c r="B20" s="18" t="s">
        <v>65</v>
      </c>
      <c r="C20" s="2">
        <v>5.7540000000000004E-3</v>
      </c>
      <c r="D20" s="204"/>
      <c r="E20" s="204"/>
      <c r="F20" s="204"/>
      <c r="G20" s="18"/>
    </row>
    <row r="21" spans="1:7" x14ac:dyDescent="0.35">
      <c r="A21" s="204"/>
      <c r="B21" s="204"/>
      <c r="C21" s="248"/>
      <c r="D21" s="249"/>
      <c r="E21" s="250" t="s">
        <v>54</v>
      </c>
      <c r="F21" s="250"/>
      <c r="G21" s="250"/>
    </row>
    <row r="22" spans="1:7" x14ac:dyDescent="0.35">
      <c r="A22" s="204"/>
      <c r="B22" s="1" t="s">
        <v>55</v>
      </c>
      <c r="C22" s="1" t="s">
        <v>20</v>
      </c>
      <c r="D22" s="10" t="s">
        <v>24</v>
      </c>
      <c r="E22" s="1" t="s">
        <v>26</v>
      </c>
      <c r="F22" s="1" t="s">
        <v>56</v>
      </c>
      <c r="G22" s="1" t="s">
        <v>63</v>
      </c>
    </row>
    <row r="23" spans="1:7" x14ac:dyDescent="0.35">
      <c r="A23" s="204"/>
      <c r="B23" s="1" t="s">
        <v>58</v>
      </c>
      <c r="C23" s="1">
        <f t="shared" ref="C23:E24" si="0">C7*FuelCell_Throttle</f>
        <v>1.1508000000000001E-2</v>
      </c>
      <c r="D23" s="10">
        <f t="shared" si="0"/>
        <v>5.7540000000000004E-3</v>
      </c>
      <c r="E23" s="1">
        <f t="shared" si="0"/>
        <v>1.1508000000000001E-2</v>
      </c>
      <c r="F23" s="8">
        <f>F15*FuelCell_Throttle</f>
        <v>1.5008906220000002</v>
      </c>
      <c r="G23" s="8">
        <f>G15*FuelCell_Throttle</f>
        <v>1.2280014179999998</v>
      </c>
    </row>
    <row r="24" spans="1:7" x14ac:dyDescent="0.35">
      <c r="A24" s="204"/>
      <c r="B24" s="1" t="s">
        <v>60</v>
      </c>
      <c r="C24" s="1">
        <f t="shared" si="0"/>
        <v>0.2560747663551402</v>
      </c>
      <c r="D24" s="10">
        <f t="shared" si="0"/>
        <v>0.12885094471658504</v>
      </c>
      <c r="E24" s="1">
        <f t="shared" si="0"/>
        <v>2.0714400000000001E-4</v>
      </c>
      <c r="F24" s="8">
        <f>F23</f>
        <v>1.5008906220000002</v>
      </c>
      <c r="G24" s="8">
        <f>G23</f>
        <v>1.2280014179999998</v>
      </c>
    </row>
    <row r="27" spans="1:7" ht="18.5" x14ac:dyDescent="0.45">
      <c r="A27" s="16" t="s">
        <v>66</v>
      </c>
      <c r="B27" s="204"/>
      <c r="C27" s="204"/>
      <c r="D27" s="204"/>
      <c r="E27" s="204"/>
      <c r="F27" s="204"/>
      <c r="G27" s="204"/>
    </row>
    <row r="28" spans="1:7" x14ac:dyDescent="0.35">
      <c r="A28" s="204"/>
      <c r="B28" s="204"/>
      <c r="C28" s="248" t="s">
        <v>53</v>
      </c>
      <c r="D28" s="249"/>
      <c r="E28" s="250" t="s">
        <v>54</v>
      </c>
      <c r="F28" s="250"/>
      <c r="G28" s="250"/>
    </row>
    <row r="29" spans="1:7" x14ac:dyDescent="0.35">
      <c r="A29" s="204"/>
      <c r="B29" s="204"/>
      <c r="C29" t="s">
        <v>19</v>
      </c>
      <c r="D29" t="s">
        <v>23</v>
      </c>
      <c r="E29" t="s">
        <v>25</v>
      </c>
      <c r="F29" t="s">
        <v>67</v>
      </c>
      <c r="G29" t="s">
        <v>68</v>
      </c>
    </row>
    <row r="30" spans="1:7" x14ac:dyDescent="0.35">
      <c r="A30" s="204"/>
      <c r="B30" s="204"/>
      <c r="C30" s="11">
        <f>C24</f>
        <v>0.2560747663551402</v>
      </c>
      <c r="D30" s="11">
        <f>D24</f>
        <v>0.12885094471658504</v>
      </c>
      <c r="E30" s="11">
        <f>E24</f>
        <v>2.0714400000000001E-4</v>
      </c>
      <c r="F30" s="5">
        <f>F24</f>
        <v>1.5008906220000002</v>
      </c>
      <c r="G30" s="20">
        <f>G23*50</f>
        <v>61.400070899999989</v>
      </c>
    </row>
  </sheetData>
  <mergeCells count="8">
    <mergeCell ref="C28:D28"/>
    <mergeCell ref="E28:G28"/>
    <mergeCell ref="C5:D5"/>
    <mergeCell ref="E5:F5"/>
    <mergeCell ref="C13:D13"/>
    <mergeCell ref="C21:D21"/>
    <mergeCell ref="E13:G13"/>
    <mergeCell ref="E21:G21"/>
  </mergeCells>
  <hyperlinks>
    <hyperlink ref="G7" r:id="rId1" location="Efficiency" xr:uid="{8725BD84-6F09-4AF2-9DD0-A54A2A0C5A12}"/>
    <hyperlink ref="D12" r:id="rId2" location="Efficiency" xr:uid="{AEB2C2A1-A12A-453C-9CA2-6F995A6FD87D}"/>
    <hyperlink ref="A2" r:id="rId3" xr:uid="{90F2DC57-4EF7-4CE5-92CA-9633E8F29236}"/>
  </hyperlinks>
  <pageMargins left="0.7" right="0.7" top="0.75" bottom="0.75" header="0.3" footer="0.3"/>
  <ignoredErrors>
    <ignoredError sqref="C7:E7 G15:G16 C15:E15" calculatedColumn="1"/>
  </ignoredErrors>
  <drawing r:id="rId4"/>
  <tableParts count="4"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BDEBF-B97A-47CA-A9C1-4A0B8F08E250}">
  <sheetPr codeName="Sheet10"/>
  <dimension ref="I17:Q46"/>
  <sheetViews>
    <sheetView workbookViewId="0">
      <selection activeCell="O34" sqref="O34"/>
    </sheetView>
  </sheetViews>
  <sheetFormatPr defaultColWidth="9.1796875" defaultRowHeight="14.5" x14ac:dyDescent="0.35"/>
  <cols>
    <col min="1" max="8" width="9.1796875" style="12"/>
    <col min="9" max="9" width="14.7265625" style="12" bestFit="1" customWidth="1"/>
    <col min="10" max="10" width="23.7265625" style="12" bestFit="1" customWidth="1"/>
    <col min="11" max="11" width="11.81640625" style="12" bestFit="1" customWidth="1"/>
    <col min="12" max="12" width="12.81640625" style="12" bestFit="1" customWidth="1"/>
    <col min="13" max="13" width="9.1796875" style="12"/>
    <col min="14" max="14" width="13.7265625" style="12" bestFit="1" customWidth="1"/>
    <col min="15" max="15" width="23" style="12" bestFit="1" customWidth="1"/>
    <col min="16" max="16" width="11.7265625" style="12" customWidth="1"/>
    <col min="17" max="17" width="12.7265625" style="12" customWidth="1"/>
    <col min="18" max="16384" width="9.1796875" style="12"/>
  </cols>
  <sheetData>
    <row r="17" spans="9:17" x14ac:dyDescent="0.35">
      <c r="I17" s="204" t="s">
        <v>69</v>
      </c>
      <c r="J17" s="204"/>
      <c r="K17" s="204"/>
      <c r="L17" s="204"/>
      <c r="M17" s="204"/>
      <c r="N17" s="204"/>
      <c r="O17" s="204"/>
      <c r="P17" s="204"/>
      <c r="Q17" s="204"/>
    </row>
    <row r="18" spans="9:17" x14ac:dyDescent="0.35">
      <c r="I18" t="s">
        <v>11</v>
      </c>
      <c r="J18" t="s">
        <v>70</v>
      </c>
      <c r="K18" t="s">
        <v>71</v>
      </c>
      <c r="L18" t="s">
        <v>72</v>
      </c>
      <c r="M18" s="204"/>
      <c r="N18" s="204"/>
      <c r="O18" s="204"/>
      <c r="P18" s="204"/>
      <c r="Q18" s="204"/>
    </row>
    <row r="19" spans="9:17" x14ac:dyDescent="0.35">
      <c r="I19" s="82" t="s">
        <v>23</v>
      </c>
      <c r="J19" s="83">
        <v>-1.7135375623849999E-3</v>
      </c>
      <c r="K19" s="82">
        <f>Table27[[#This Row],[Amount]]*21600</f>
        <v>-37.012411347516</v>
      </c>
      <c r="L19" s="82">
        <f>Table27[[#This Row],[Daily (6H)]]*4</f>
        <v>-148.049645390064</v>
      </c>
      <c r="M19" s="204"/>
      <c r="N19" s="204"/>
      <c r="O19" s="204"/>
      <c r="P19" s="204"/>
      <c r="Q19" s="204"/>
    </row>
    <row r="20" spans="9:17" x14ac:dyDescent="0.35">
      <c r="I20" s="82" t="s">
        <v>25</v>
      </c>
      <c r="J20" s="83">
        <v>-1.1188078703999999E-5</v>
      </c>
      <c r="K20" s="82">
        <f>Table27[[#This Row],[Amount]]*21600</f>
        <v>-0.24166250000639999</v>
      </c>
      <c r="L20" s="82">
        <f>Table27[[#This Row],[Daily (6H)]]*4</f>
        <v>-0.96665000002559998</v>
      </c>
      <c r="M20" s="204"/>
      <c r="N20" s="204"/>
      <c r="O20" s="204"/>
      <c r="P20" s="204"/>
      <c r="Q20" s="204"/>
    </row>
    <row r="21" spans="9:17" x14ac:dyDescent="0.35">
      <c r="I21" s="82" t="s">
        <v>73</v>
      </c>
      <c r="J21" s="83">
        <v>-1.6927083333000001E-5</v>
      </c>
      <c r="K21" s="82">
        <f>Table27[[#This Row],[Amount]]*21600</f>
        <v>-0.36562499999280001</v>
      </c>
      <c r="L21" s="82">
        <f>Table27[[#This Row],[Daily (6H)]]*4</f>
        <v>-1.4624999999712001</v>
      </c>
      <c r="M21" s="204"/>
      <c r="N21" s="204"/>
      <c r="O21" s="204"/>
      <c r="P21" s="204"/>
      <c r="Q21" s="204"/>
    </row>
    <row r="22" spans="9:17" x14ac:dyDescent="0.35">
      <c r="I22" s="82" t="s">
        <v>67</v>
      </c>
      <c r="J22" s="83">
        <v>-1.4166666666667001E-2</v>
      </c>
      <c r="K22" s="82">
        <f>Table27[[#This Row],[Amount]]*21600</f>
        <v>-306.00000000000722</v>
      </c>
      <c r="L22" s="82">
        <f>Table27[[#This Row],[Daily (6H)]]*4</f>
        <v>-1224.0000000000289</v>
      </c>
      <c r="M22" s="204"/>
      <c r="N22" s="204"/>
      <c r="O22" s="204"/>
      <c r="P22" s="204"/>
      <c r="Q22" s="204"/>
    </row>
    <row r="23" spans="9:17" x14ac:dyDescent="0.35">
      <c r="I23" t="s">
        <v>17</v>
      </c>
      <c r="J23" s="81">
        <v>1.4801288987600001E-3</v>
      </c>
      <c r="K23">
        <f>Table27[[#This Row],[Amount]]*21600</f>
        <v>31.970784213216</v>
      </c>
      <c r="L23">
        <f>Table27[[#This Row],[Daily (6H)]]*4</f>
        <v>127.883136852864</v>
      </c>
      <c r="M23" s="204"/>
      <c r="N23" s="204"/>
      <c r="O23" s="204"/>
      <c r="P23" s="204"/>
      <c r="Q23" s="204"/>
    </row>
    <row r="24" spans="9:17" x14ac:dyDescent="0.35">
      <c r="I24" t="s">
        <v>74</v>
      </c>
      <c r="J24" s="81">
        <v>1.5393518520000001E-6</v>
      </c>
      <c r="K24">
        <f>Table27[[#This Row],[Amount]]*21600</f>
        <v>3.3250000003200005E-2</v>
      </c>
      <c r="L24">
        <f>Table27[[#This Row],[Daily (6H)]]*4</f>
        <v>0.13300000001280002</v>
      </c>
      <c r="M24" s="204"/>
      <c r="N24" s="204"/>
      <c r="O24" s="204"/>
      <c r="P24" s="204"/>
      <c r="Q24" s="204"/>
    </row>
    <row r="25" spans="9:17" x14ac:dyDescent="0.35">
      <c r="I25" t="s">
        <v>75</v>
      </c>
      <c r="J25" s="81">
        <v>1.4247685185E-5</v>
      </c>
      <c r="K25">
        <f>Table27[[#This Row],[Amount]]*21600</f>
        <v>0.307749999996</v>
      </c>
      <c r="L25">
        <f>Table27[[#This Row],[Daily (6H)]]*4</f>
        <v>1.230999999984</v>
      </c>
      <c r="M25" s="204"/>
      <c r="N25" s="204"/>
      <c r="O25" s="204"/>
      <c r="P25" s="204"/>
      <c r="Q25" s="204"/>
    </row>
    <row r="31" spans="9:17" x14ac:dyDescent="0.35">
      <c r="I31" s="204" t="s">
        <v>76</v>
      </c>
      <c r="J31" s="204"/>
      <c r="K31" s="204"/>
      <c r="L31" s="204"/>
      <c r="M31" s="204"/>
      <c r="N31" s="204" t="s">
        <v>77</v>
      </c>
      <c r="O31" s="204"/>
      <c r="P31" s="204"/>
      <c r="Q31" s="204"/>
    </row>
    <row r="32" spans="9:17" x14ac:dyDescent="0.35">
      <c r="I32" t="s">
        <v>11</v>
      </c>
      <c r="J32" t="s">
        <v>70</v>
      </c>
      <c r="K32" t="s">
        <v>71</v>
      </c>
      <c r="L32" t="s">
        <v>72</v>
      </c>
      <c r="M32" s="204"/>
      <c r="N32" t="s">
        <v>11</v>
      </c>
      <c r="O32" t="s">
        <v>70</v>
      </c>
      <c r="P32" t="s">
        <v>71</v>
      </c>
      <c r="Q32" t="s">
        <v>72</v>
      </c>
    </row>
    <row r="33" spans="9:17" x14ac:dyDescent="0.35">
      <c r="I33" t="s">
        <v>19</v>
      </c>
      <c r="J33"/>
      <c r="K33"/>
      <c r="L33"/>
      <c r="M33" s="204"/>
      <c r="N33" t="s">
        <v>75</v>
      </c>
      <c r="O33" s="81">
        <f t="shared" ref="O33:O36" si="0">J25*6</f>
        <v>8.5486111109999999E-5</v>
      </c>
      <c r="P33"/>
      <c r="Q33"/>
    </row>
    <row r="34" spans="9:17" x14ac:dyDescent="0.35">
      <c r="I34" t="s">
        <v>17</v>
      </c>
      <c r="J34"/>
      <c r="K34"/>
      <c r="L34"/>
      <c r="M34" s="204"/>
      <c r="N34" t="s">
        <v>67</v>
      </c>
      <c r="O34" s="81">
        <f t="shared" si="0"/>
        <v>0</v>
      </c>
      <c r="P34"/>
      <c r="Q34"/>
    </row>
    <row r="35" spans="9:17" x14ac:dyDescent="0.35">
      <c r="I35" t="s">
        <v>67</v>
      </c>
      <c r="J35"/>
      <c r="K35"/>
      <c r="L35"/>
      <c r="M35" s="204"/>
      <c r="N35" t="s">
        <v>25</v>
      </c>
      <c r="O35" s="81">
        <f t="shared" si="0"/>
        <v>0</v>
      </c>
      <c r="P35"/>
      <c r="Q35"/>
    </row>
    <row r="36" spans="9:17" x14ac:dyDescent="0.35">
      <c r="I36" t="s">
        <v>25</v>
      </c>
      <c r="J36"/>
      <c r="K36"/>
      <c r="L36"/>
      <c r="M36" s="204"/>
      <c r="N36" t="s">
        <v>74</v>
      </c>
      <c r="O36" s="81">
        <f t="shared" si="0"/>
        <v>0</v>
      </c>
      <c r="P36"/>
      <c r="Q36"/>
    </row>
    <row r="41" spans="9:17" x14ac:dyDescent="0.35">
      <c r="I41" s="204" t="s">
        <v>78</v>
      </c>
      <c r="J41" s="204"/>
      <c r="K41" s="204"/>
      <c r="L41" s="204"/>
      <c r="M41" s="204"/>
      <c r="N41" s="204"/>
      <c r="O41" s="204"/>
      <c r="P41" s="204"/>
      <c r="Q41" s="204"/>
    </row>
    <row r="42" spans="9:17" x14ac:dyDescent="0.35">
      <c r="I42" t="s">
        <v>11</v>
      </c>
      <c r="J42" t="s">
        <v>70</v>
      </c>
      <c r="K42" t="s">
        <v>71</v>
      </c>
      <c r="L42" t="s">
        <v>72</v>
      </c>
      <c r="M42" s="204"/>
      <c r="N42" s="204"/>
      <c r="O42" s="204"/>
      <c r="P42" s="204"/>
      <c r="Q42" s="204"/>
    </row>
    <row r="43" spans="9:17" x14ac:dyDescent="0.35">
      <c r="I43" t="s">
        <v>25</v>
      </c>
      <c r="J43"/>
      <c r="K43"/>
      <c r="L43"/>
      <c r="M43" s="204"/>
      <c r="N43" s="204"/>
      <c r="O43" s="204"/>
      <c r="P43" s="204"/>
      <c r="Q43" s="204"/>
    </row>
    <row r="44" spans="9:17" x14ac:dyDescent="0.35">
      <c r="I44" t="s">
        <v>67</v>
      </c>
      <c r="J44"/>
      <c r="K44"/>
      <c r="L44"/>
      <c r="M44" s="204"/>
      <c r="N44" s="204"/>
      <c r="O44" s="204"/>
      <c r="P44" s="204"/>
      <c r="Q44" s="204"/>
    </row>
    <row r="45" spans="9:17" x14ac:dyDescent="0.35">
      <c r="I45" t="s">
        <v>19</v>
      </c>
      <c r="J45"/>
      <c r="K45"/>
      <c r="L45"/>
      <c r="M45" s="204"/>
      <c r="N45" s="204"/>
      <c r="O45" s="204"/>
      <c r="P45" s="204"/>
      <c r="Q45" s="204"/>
    </row>
    <row r="46" spans="9:17" x14ac:dyDescent="0.35">
      <c r="I46" t="s">
        <v>23</v>
      </c>
      <c r="J46"/>
      <c r="K46"/>
      <c r="L46"/>
      <c r="M46" s="204"/>
      <c r="N46" s="204"/>
      <c r="O46" s="204"/>
      <c r="P46" s="204"/>
      <c r="Q46" s="204"/>
    </row>
  </sheetData>
  <pageMargins left="0.7" right="0.7" top="0.75" bottom="0.75" header="0.3" footer="0.3"/>
  <pageSetup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C4264-FF27-495D-9473-E4067839417D}">
  <sheetPr codeName="Sheet3">
    <tabColor theme="4" tint="0.79998168889431442"/>
  </sheetPr>
  <dimension ref="A1:H32"/>
  <sheetViews>
    <sheetView zoomScale="85" zoomScaleNormal="85" workbookViewId="0">
      <pane ySplit="1" topLeftCell="A14" activePane="bottomLeft" state="frozen"/>
      <selection pane="bottomLeft" activeCell="D32" sqref="D32"/>
    </sheetView>
  </sheetViews>
  <sheetFormatPr defaultColWidth="8.81640625" defaultRowHeight="14.5" x14ac:dyDescent="0.35"/>
  <cols>
    <col min="1" max="1" width="3.81640625" style="19" customWidth="1"/>
    <col min="2" max="2" width="9.453125" style="19" bestFit="1" customWidth="1"/>
    <col min="3" max="4" width="19.1796875" style="19" bestFit="1" customWidth="1"/>
    <col min="5" max="5" width="15" style="19" bestFit="1" customWidth="1"/>
    <col min="6" max="6" width="22.7265625" style="19" bestFit="1" customWidth="1"/>
    <col min="7" max="7" width="23.7265625" style="19" bestFit="1" customWidth="1"/>
    <col min="8" max="8" width="11.453125" style="19" bestFit="1" customWidth="1"/>
    <col min="9" max="16384" width="8.81640625" style="19"/>
  </cols>
  <sheetData>
    <row r="1" spans="1:8" ht="28.5" x14ac:dyDescent="0.65">
      <c r="A1" s="73" t="s">
        <v>79</v>
      </c>
      <c r="B1" s="201"/>
      <c r="C1" s="201"/>
      <c r="D1" s="201"/>
      <c r="E1" s="201"/>
      <c r="F1" s="201"/>
      <c r="G1" s="201"/>
      <c r="H1" s="201"/>
    </row>
    <row r="2" spans="1:8" x14ac:dyDescent="0.35">
      <c r="A2" s="203" t="s">
        <v>80</v>
      </c>
      <c r="B2" s="201"/>
      <c r="C2" s="201"/>
      <c r="D2" s="201"/>
      <c r="E2" s="201"/>
      <c r="F2" s="201"/>
      <c r="G2" s="201"/>
      <c r="H2" s="201"/>
    </row>
    <row r="4" spans="1:8" ht="18.5" x14ac:dyDescent="0.45">
      <c r="A4" s="74" t="s">
        <v>52</v>
      </c>
      <c r="B4" s="201"/>
      <c r="C4" s="201"/>
      <c r="D4" s="201"/>
      <c r="E4" s="201"/>
      <c r="F4" s="201"/>
      <c r="G4" s="201"/>
      <c r="H4" s="201"/>
    </row>
    <row r="5" spans="1:8" x14ac:dyDescent="0.35">
      <c r="A5" s="201"/>
      <c r="B5" s="201"/>
      <c r="C5" s="248" t="s">
        <v>53</v>
      </c>
      <c r="D5" s="248"/>
      <c r="E5" s="248"/>
      <c r="F5" s="250" t="s">
        <v>54</v>
      </c>
      <c r="G5" s="250"/>
      <c r="H5" s="201"/>
    </row>
    <row r="6" spans="1:8" x14ac:dyDescent="0.35">
      <c r="A6" s="201"/>
      <c r="B6" s="1" t="s">
        <v>55</v>
      </c>
      <c r="C6" s="1" t="s">
        <v>18</v>
      </c>
      <c r="D6" s="1" t="s">
        <v>20</v>
      </c>
      <c r="E6" s="1" t="s">
        <v>56</v>
      </c>
      <c r="F6" s="1" t="s">
        <v>22</v>
      </c>
      <c r="G6" s="1" t="s">
        <v>26</v>
      </c>
      <c r="H6" s="201"/>
    </row>
    <row r="7" spans="1:8" x14ac:dyDescent="0.35">
      <c r="A7" s="201"/>
      <c r="B7" s="1" t="s">
        <v>58</v>
      </c>
      <c r="C7" s="1">
        <v>1</v>
      </c>
      <c r="D7" s="1">
        <v>4</v>
      </c>
      <c r="E7" s="22">
        <v>700</v>
      </c>
      <c r="F7" s="1">
        <v>1</v>
      </c>
      <c r="G7" s="1">
        <v>2</v>
      </c>
      <c r="H7" s="201"/>
    </row>
    <row r="8" spans="1:8" x14ac:dyDescent="0.35">
      <c r="A8" s="201"/>
      <c r="B8" s="1" t="s">
        <v>60</v>
      </c>
      <c r="C8" s="1">
        <f>INDEX(MolecularWeightsAndMesures[Litres in 1 mol],MATCH(Sabatier!C6,MolecularWeightsAndMesures[Formula],0))*Sabatier!C7</f>
        <v>22.448979591836732</v>
      </c>
      <c r="D8" s="1">
        <f>INDEX(MolecularWeightsAndMesures[Litres in 1 mol],MATCH(Sabatier!D6,MolecularWeightsAndMesures[Formula],0))*Sabatier!D7</f>
        <v>89.007565643079658</v>
      </c>
      <c r="E8" s="22">
        <v>700</v>
      </c>
      <c r="F8" s="1">
        <f>INDEX(MolecularWeightsAndMesures[Litres in 1 mol],MATCH(Sabatier!F6,MolecularWeightsAndMesures[Formula],0))*Sabatier!F7</f>
        <v>22.346368715083798</v>
      </c>
      <c r="G8" s="1">
        <f>INDEX(MolecularWeightsAndMesures[Litres in 1 mol],MATCH(Sabatier!G6,MolecularWeightsAndMesures[Formula],0))*Sabatier!G7</f>
        <v>3.5999999999999997E-2</v>
      </c>
      <c r="H8" s="201"/>
    </row>
    <row r="10" spans="1:8" ht="18.5" x14ac:dyDescent="0.45">
      <c r="A10" s="74" t="s">
        <v>61</v>
      </c>
      <c r="B10" s="201"/>
      <c r="C10" s="201"/>
      <c r="D10" s="201"/>
      <c r="E10" s="201"/>
      <c r="F10" s="201"/>
      <c r="G10" s="201"/>
      <c r="H10" s="201"/>
    </row>
    <row r="11" spans="1:8" x14ac:dyDescent="0.35">
      <c r="A11" s="201"/>
      <c r="B11" s="44" t="s">
        <v>62</v>
      </c>
      <c r="C11" s="9">
        <v>1</v>
      </c>
      <c r="D11" s="203"/>
      <c r="E11" s="201"/>
      <c r="F11" s="201"/>
      <c r="G11" s="44"/>
      <c r="H11" s="201"/>
    </row>
    <row r="12" spans="1:8" x14ac:dyDescent="0.35">
      <c r="A12" s="201"/>
      <c r="B12" s="201"/>
      <c r="C12" s="248" t="s">
        <v>53</v>
      </c>
      <c r="D12" s="248"/>
      <c r="E12" s="248"/>
      <c r="F12" s="250" t="s">
        <v>54</v>
      </c>
      <c r="G12" s="250"/>
      <c r="H12" s="250"/>
    </row>
    <row r="13" spans="1:8" x14ac:dyDescent="0.35">
      <c r="A13" s="201"/>
      <c r="B13" s="1" t="s">
        <v>55</v>
      </c>
      <c r="C13" s="1" t="s">
        <v>18</v>
      </c>
      <c r="D13" s="1" t="s">
        <v>20</v>
      </c>
      <c r="E13" s="1" t="s">
        <v>56</v>
      </c>
      <c r="F13" s="1" t="s">
        <v>22</v>
      </c>
      <c r="G13" s="1" t="s">
        <v>26</v>
      </c>
      <c r="H13" s="1" t="s">
        <v>63</v>
      </c>
    </row>
    <row r="14" spans="1:8" x14ac:dyDescent="0.35">
      <c r="A14" s="201"/>
      <c r="B14" s="1" t="s">
        <v>58</v>
      </c>
      <c r="C14" s="1">
        <v>1</v>
      </c>
      <c r="D14" s="1">
        <v>4</v>
      </c>
      <c r="E14" s="22">
        <f>E7/Sabatier_Efficency</f>
        <v>700</v>
      </c>
      <c r="F14" s="1">
        <v>1</v>
      </c>
      <c r="G14" s="1">
        <v>2</v>
      </c>
      <c r="H14" s="22">
        <f>Sabatier_RealWorld[[#This Row],[Electricity]]-E7</f>
        <v>0</v>
      </c>
    </row>
    <row r="15" spans="1:8" x14ac:dyDescent="0.35">
      <c r="A15" s="201"/>
      <c r="B15" s="1" t="s">
        <v>60</v>
      </c>
      <c r="C15" s="1">
        <f>INDEX(MolecularWeightsAndMesures[Litres in 1 mol],MATCH(Sabatier!C13,MolecularWeightsAndMesures[Formula],0))*Sabatier!C14</f>
        <v>22.448979591836732</v>
      </c>
      <c r="D15" s="1">
        <f>INDEX(MolecularWeightsAndMesures[Litres in 1 mol],MATCH(Sabatier!D13,MolecularWeightsAndMesures[Formula],0))*Sabatier!D14</f>
        <v>89.007565643079658</v>
      </c>
      <c r="E15" s="22">
        <f>E8/Sabatier_Efficency</f>
        <v>700</v>
      </c>
      <c r="F15" s="1">
        <f>INDEX(MolecularWeightsAndMesures[Litres in 1 mol],MATCH(Sabatier!F13,MolecularWeightsAndMesures[Formula],0))*Sabatier!F14</f>
        <v>22.346368715083798</v>
      </c>
      <c r="G15" s="1">
        <f>INDEX(MolecularWeightsAndMesures[Litres in 1 mol],MATCH(Sabatier!G13,MolecularWeightsAndMesures[Formula],0))*Sabatier!G14</f>
        <v>3.5999999999999997E-2</v>
      </c>
      <c r="H15" s="22">
        <f>H14</f>
        <v>0</v>
      </c>
    </row>
    <row r="17" spans="1:8" ht="18.5" x14ac:dyDescent="0.45">
      <c r="A17" s="74" t="s">
        <v>64</v>
      </c>
      <c r="B17" s="201"/>
      <c r="C17" s="201"/>
      <c r="D17" s="201"/>
      <c r="E17" s="201"/>
      <c r="F17" s="201"/>
      <c r="G17" s="201"/>
      <c r="H17" s="201"/>
    </row>
    <row r="18" spans="1:8" x14ac:dyDescent="0.35">
      <c r="A18" s="201"/>
      <c r="B18" s="44" t="s">
        <v>65</v>
      </c>
      <c r="C18" s="25">
        <v>3.9285714285714288E-3</v>
      </c>
      <c r="D18" s="201"/>
      <c r="E18" s="201"/>
      <c r="F18" s="201"/>
      <c r="G18" s="44"/>
      <c r="H18" s="201"/>
    </row>
    <row r="19" spans="1:8" x14ac:dyDescent="0.35">
      <c r="A19" s="201"/>
      <c r="B19" s="201"/>
      <c r="C19" s="248" t="s">
        <v>53</v>
      </c>
      <c r="D19" s="248"/>
      <c r="E19" s="248"/>
      <c r="F19" s="250" t="s">
        <v>54</v>
      </c>
      <c r="G19" s="250"/>
      <c r="H19" s="250"/>
    </row>
    <row r="20" spans="1:8" x14ac:dyDescent="0.35">
      <c r="A20" s="201"/>
      <c r="B20" s="1" t="s">
        <v>55</v>
      </c>
      <c r="C20" s="1" t="s">
        <v>18</v>
      </c>
      <c r="D20" s="1" t="s">
        <v>20</v>
      </c>
      <c r="E20" s="1" t="s">
        <v>56</v>
      </c>
      <c r="F20" s="1" t="s">
        <v>22</v>
      </c>
      <c r="G20" s="1" t="s">
        <v>26</v>
      </c>
      <c r="H20" s="1" t="s">
        <v>63</v>
      </c>
    </row>
    <row r="21" spans="1:8" x14ac:dyDescent="0.35">
      <c r="A21" s="201"/>
      <c r="B21" s="1" t="s">
        <v>58</v>
      </c>
      <c r="C21" s="1">
        <f t="shared" ref="C21:H22" si="0">C14*Sabatier_Throttle</f>
        <v>3.9285714285714288E-3</v>
      </c>
      <c r="D21" s="1">
        <f t="shared" si="0"/>
        <v>1.5714285714285715E-2</v>
      </c>
      <c r="E21" s="21">
        <f t="shared" si="0"/>
        <v>2.75</v>
      </c>
      <c r="F21" s="1">
        <f t="shared" si="0"/>
        <v>3.9285714285714288E-3</v>
      </c>
      <c r="G21" s="1">
        <f t="shared" si="0"/>
        <v>7.8571428571428577E-3</v>
      </c>
      <c r="H21" s="21">
        <f t="shared" si="0"/>
        <v>0</v>
      </c>
    </row>
    <row r="22" spans="1:8" x14ac:dyDescent="0.35">
      <c r="A22" s="201"/>
      <c r="B22" s="1" t="s">
        <v>60</v>
      </c>
      <c r="C22" s="1">
        <f t="shared" si="0"/>
        <v>8.8192419825072879E-2</v>
      </c>
      <c r="D22" s="1">
        <f t="shared" si="0"/>
        <v>0.34967257931209866</v>
      </c>
      <c r="E22" s="21">
        <f t="shared" si="0"/>
        <v>2.75</v>
      </c>
      <c r="F22" s="1">
        <f t="shared" si="0"/>
        <v>8.7789305666400641E-2</v>
      </c>
      <c r="G22" s="1">
        <f t="shared" si="0"/>
        <v>1.4142857142857143E-4</v>
      </c>
      <c r="H22" s="21">
        <f t="shared" si="0"/>
        <v>0</v>
      </c>
    </row>
    <row r="24" spans="1:8" ht="18.5" x14ac:dyDescent="0.45">
      <c r="A24" s="74" t="s">
        <v>66</v>
      </c>
      <c r="B24" s="201"/>
      <c r="C24" s="201"/>
      <c r="D24" s="201"/>
      <c r="E24" s="201"/>
      <c r="F24" s="201"/>
      <c r="G24" s="201"/>
      <c r="H24" s="201"/>
    </row>
    <row r="25" spans="1:8" x14ac:dyDescent="0.35">
      <c r="A25" s="201"/>
      <c r="B25" s="201"/>
      <c r="C25" s="248" t="s">
        <v>53</v>
      </c>
      <c r="D25" s="248"/>
      <c r="E25" s="248"/>
      <c r="F25" s="250" t="s">
        <v>54</v>
      </c>
      <c r="G25" s="250"/>
      <c r="H25" s="250"/>
    </row>
    <row r="26" spans="1:8" x14ac:dyDescent="0.35">
      <c r="A26" s="201"/>
      <c r="B26" s="201"/>
      <c r="C26" s="1" t="s">
        <v>81</v>
      </c>
      <c r="D26" s="1" t="s">
        <v>19</v>
      </c>
      <c r="E26" s="1" t="s">
        <v>67</v>
      </c>
      <c r="F26" s="1" t="s">
        <v>21</v>
      </c>
      <c r="G26" s="1" t="s">
        <v>25</v>
      </c>
      <c r="H26" s="1" t="s">
        <v>68</v>
      </c>
    </row>
    <row r="27" spans="1:8" x14ac:dyDescent="0.35">
      <c r="A27" s="201"/>
      <c r="B27" s="201"/>
      <c r="C27" s="79">
        <f>C22</f>
        <v>8.8192419825072879E-2</v>
      </c>
      <c r="D27" s="79">
        <f>D22</f>
        <v>0.34967257931209866</v>
      </c>
      <c r="E27" s="24">
        <f>E22</f>
        <v>2.75</v>
      </c>
      <c r="F27" s="79">
        <f>F22</f>
        <v>8.7789305666400641E-2</v>
      </c>
      <c r="G27" s="80">
        <f>G22</f>
        <v>1.4142857142857143E-4</v>
      </c>
      <c r="H27" s="23">
        <f>H22*50</f>
        <v>0</v>
      </c>
    </row>
    <row r="29" spans="1:8" ht="18.5" x14ac:dyDescent="0.45">
      <c r="A29" s="74" t="s">
        <v>82</v>
      </c>
      <c r="B29" s="201"/>
      <c r="C29" s="201"/>
      <c r="D29" s="201"/>
      <c r="E29" s="201"/>
      <c r="F29" s="201"/>
      <c r="G29" s="201"/>
      <c r="H29" s="201"/>
    </row>
    <row r="30" spans="1:8" x14ac:dyDescent="0.35">
      <c r="A30" s="201"/>
      <c r="B30" s="201"/>
      <c r="C30" s="248" t="s">
        <v>53</v>
      </c>
      <c r="D30" s="248"/>
      <c r="E30" s="248"/>
      <c r="F30" s="250" t="s">
        <v>54</v>
      </c>
      <c r="G30" s="250"/>
      <c r="H30" s="250"/>
    </row>
    <row r="31" spans="1:8" x14ac:dyDescent="0.35">
      <c r="A31" s="201"/>
      <c r="B31" s="201"/>
      <c r="C31" s="1" t="s">
        <v>81</v>
      </c>
      <c r="D31" s="1" t="s">
        <v>19</v>
      </c>
      <c r="E31" s="1" t="s">
        <v>67</v>
      </c>
      <c r="F31" s="1" t="s">
        <v>21</v>
      </c>
      <c r="G31" s="1" t="s">
        <v>25</v>
      </c>
      <c r="H31" s="1" t="s">
        <v>68</v>
      </c>
    </row>
    <row r="32" spans="1:8" x14ac:dyDescent="0.35">
      <c r="A32" s="201"/>
      <c r="B32" s="201"/>
      <c r="C32" s="127">
        <v>2.6059113990430202E-3</v>
      </c>
      <c r="D32" s="79">
        <f>Sabatier_KSP96[[#This Row],[CarbonDioxide]]*D7</f>
        <v>1.0423645596172081E-2</v>
      </c>
      <c r="E32" s="128">
        <f>Sabatier_KSP96[[#This Row],[CarbonDioxide]]*E7/Sabatier_Efficency</f>
        <v>1.8241379793301142</v>
      </c>
      <c r="F32" s="79">
        <f>Sabatier_KSP96[[#This Row],[CarbonDioxide]]*F7</f>
        <v>2.6059113990430202E-3</v>
      </c>
      <c r="G32" s="80">
        <f>Sabatier_KSP96[[#This Row],[CarbonDioxide]]*G7</f>
        <v>5.2118227980860405E-3</v>
      </c>
      <c r="H32" s="23">
        <f>((Sabatier_KSP96[[#This Row],[CarbonDioxide]]*E7/Sabatier_Efficency)-Sabatier_KSP96[[#This Row],[CarbonDioxide]]*E7)*50</f>
        <v>0</v>
      </c>
    </row>
  </sheetData>
  <mergeCells count="10">
    <mergeCell ref="C5:E5"/>
    <mergeCell ref="F5:G5"/>
    <mergeCell ref="C12:E12"/>
    <mergeCell ref="F12:H12"/>
    <mergeCell ref="C30:E30"/>
    <mergeCell ref="F30:H30"/>
    <mergeCell ref="F19:H19"/>
    <mergeCell ref="C19:E19"/>
    <mergeCell ref="C25:E25"/>
    <mergeCell ref="F25:H25"/>
  </mergeCells>
  <hyperlinks>
    <hyperlink ref="A2" r:id="rId1" xr:uid="{FD798D22-552F-458E-AA4D-17A2C0A9B563}"/>
  </hyperlinks>
  <pageMargins left="0.7" right="0.7" top="0.75" bottom="0.75" header="0.3" footer="0.3"/>
  <pageSetup orientation="portrait" horizontalDpi="0" verticalDpi="0" r:id="rId2"/>
  <tableParts count="5"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24FD7-CA79-4C77-AEFF-9E62CE2B66C8}">
  <sheetPr codeName="Sheet4">
    <tabColor theme="4" tint="0.59999389629810485"/>
  </sheetPr>
  <dimension ref="A1:H56"/>
  <sheetViews>
    <sheetView zoomScale="85" zoomScaleNormal="85" workbookViewId="0">
      <pane ySplit="1" topLeftCell="A11" activePane="bottomLeft" state="frozen"/>
      <selection pane="bottomLeft" sqref="A1:XFD1"/>
    </sheetView>
  </sheetViews>
  <sheetFormatPr defaultColWidth="8.81640625" defaultRowHeight="14.5" x14ac:dyDescent="0.35"/>
  <cols>
    <col min="1" max="1" width="3.81640625" style="19" customWidth="1"/>
    <col min="2" max="2" width="9.453125" style="19" bestFit="1" customWidth="1"/>
    <col min="3" max="3" width="23.26953125" style="19" bestFit="1" customWidth="1"/>
    <col min="4" max="4" width="21.1796875" style="19" bestFit="1" customWidth="1"/>
    <col min="5" max="5" width="22.7265625" style="19" bestFit="1" customWidth="1"/>
    <col min="6" max="7" width="23.7265625" style="19" bestFit="1" customWidth="1"/>
    <col min="8" max="8" width="11.453125" style="19" bestFit="1" customWidth="1"/>
    <col min="9" max="16384" width="8.81640625" style="19"/>
  </cols>
  <sheetData>
    <row r="1" spans="1:8" ht="28.5" x14ac:dyDescent="0.65">
      <c r="A1" s="73" t="s">
        <v>78</v>
      </c>
      <c r="B1" s="201"/>
      <c r="C1" s="201"/>
      <c r="D1" s="201"/>
      <c r="E1" s="201"/>
      <c r="F1" s="201"/>
      <c r="G1" s="201"/>
      <c r="H1" s="201"/>
    </row>
    <row r="2" spans="1:8" x14ac:dyDescent="0.35">
      <c r="A2" s="252" t="s">
        <v>83</v>
      </c>
      <c r="B2" s="253"/>
      <c r="C2" s="253"/>
      <c r="D2" s="253"/>
      <c r="E2" s="201"/>
      <c r="F2" s="201"/>
      <c r="G2" s="201"/>
      <c r="H2" s="201"/>
    </row>
    <row r="4" spans="1:8" ht="18.5" x14ac:dyDescent="0.45">
      <c r="A4" s="74" t="s">
        <v>52</v>
      </c>
      <c r="B4" s="201"/>
      <c r="C4" s="201"/>
      <c r="D4" s="201"/>
      <c r="E4" s="201"/>
      <c r="F4" s="201"/>
      <c r="G4" s="201"/>
      <c r="H4" s="201"/>
    </row>
    <row r="5" spans="1:8" x14ac:dyDescent="0.35">
      <c r="A5" s="201"/>
      <c r="B5" s="201"/>
      <c r="C5" s="75" t="s">
        <v>53</v>
      </c>
      <c r="D5" s="75"/>
      <c r="E5" s="250" t="s">
        <v>54</v>
      </c>
      <c r="F5" s="250"/>
      <c r="G5" s="43"/>
      <c r="H5" s="201"/>
    </row>
    <row r="6" spans="1:8" x14ac:dyDescent="0.35">
      <c r="A6" s="201"/>
      <c r="B6" s="1" t="s">
        <v>55</v>
      </c>
      <c r="C6" s="1" t="s">
        <v>26</v>
      </c>
      <c r="D6" s="1" t="s">
        <v>56</v>
      </c>
      <c r="E6" s="1" t="s">
        <v>20</v>
      </c>
      <c r="F6" s="1" t="s">
        <v>24</v>
      </c>
      <c r="G6" s="201"/>
      <c r="H6" s="201"/>
    </row>
    <row r="7" spans="1:8" x14ac:dyDescent="0.35">
      <c r="A7" s="201"/>
      <c r="B7" s="1" t="s">
        <v>58</v>
      </c>
      <c r="C7" s="1">
        <v>2</v>
      </c>
      <c r="D7" s="8">
        <f>237.13*FuelCell_Ideal[[#This Row],[H2O]]</f>
        <v>474.26</v>
      </c>
      <c r="E7" s="1">
        <v>2</v>
      </c>
      <c r="F7" s="1">
        <v>1</v>
      </c>
      <c r="G7" s="201"/>
      <c r="H7" s="201"/>
    </row>
    <row r="8" spans="1:8" x14ac:dyDescent="0.35">
      <c r="A8" s="201"/>
      <c r="B8" s="1" t="s">
        <v>60</v>
      </c>
      <c r="C8" s="1">
        <f>INDEX(MolecularWeightsAndMesures[Litres in 1 mol],MATCH(Elektron!C6,MolecularWeightsAndMesures[Formula],0))*Elektron!C7</f>
        <v>3.5999999999999997E-2</v>
      </c>
      <c r="D8" s="22">
        <f>D7</f>
        <v>474.26</v>
      </c>
      <c r="E8" s="1">
        <f>INDEX(MolecularWeightsAndMesures[Litres in 1 mol],MATCH(Elektron!E6,MolecularWeightsAndMesures[Formula],0))*Elektron!E7</f>
        <v>44.503782821539829</v>
      </c>
      <c r="F8" s="1">
        <f>INDEX(MolecularWeightsAndMesures[Litres in 1 mol],MATCH(Elektron!F6,MolecularWeightsAndMesures[Formula],0))*Elektron!F7</f>
        <v>22.393282015395382</v>
      </c>
      <c r="G8" s="201"/>
      <c r="H8" s="201"/>
    </row>
    <row r="10" spans="1:8" ht="18.5" x14ac:dyDescent="0.45">
      <c r="A10" s="74" t="s">
        <v>61</v>
      </c>
      <c r="B10" s="201"/>
      <c r="C10" s="201"/>
      <c r="D10" s="201"/>
      <c r="E10" s="201"/>
      <c r="F10" s="201"/>
      <c r="G10" s="201"/>
      <c r="H10" s="201"/>
    </row>
    <row r="11" spans="1:8" x14ac:dyDescent="0.35">
      <c r="A11" s="201"/>
      <c r="B11" s="44" t="s">
        <v>62</v>
      </c>
      <c r="C11" s="9">
        <v>0.55000000000000004</v>
      </c>
      <c r="D11" s="203"/>
      <c r="E11" s="201"/>
      <c r="F11" s="201"/>
      <c r="G11" s="44"/>
      <c r="H11" s="201"/>
    </row>
    <row r="12" spans="1:8" x14ac:dyDescent="0.35">
      <c r="A12" s="201"/>
      <c r="B12" s="201"/>
      <c r="C12" s="75" t="s">
        <v>53</v>
      </c>
      <c r="D12" s="75"/>
      <c r="E12" s="250" t="s">
        <v>54</v>
      </c>
      <c r="F12" s="250"/>
      <c r="G12" s="250"/>
      <c r="H12" s="43"/>
    </row>
    <row r="13" spans="1:8" x14ac:dyDescent="0.35">
      <c r="A13" s="201"/>
      <c r="B13" s="1" t="s">
        <v>55</v>
      </c>
      <c r="C13" s="1" t="s">
        <v>26</v>
      </c>
      <c r="D13" s="1" t="s">
        <v>56</v>
      </c>
      <c r="E13" s="1" t="s">
        <v>20</v>
      </c>
      <c r="F13" s="1" t="s">
        <v>24</v>
      </c>
      <c r="G13" s="1" t="s">
        <v>63</v>
      </c>
      <c r="H13" s="201"/>
    </row>
    <row r="14" spans="1:8" x14ac:dyDescent="0.35">
      <c r="A14" s="201"/>
      <c r="B14" s="1" t="s">
        <v>58</v>
      </c>
      <c r="C14" s="1">
        <v>2</v>
      </c>
      <c r="D14" s="22">
        <f>D7/Sabatier_Efficency</f>
        <v>862.29090909090905</v>
      </c>
      <c r="E14" s="1">
        <v>1</v>
      </c>
      <c r="F14" s="1">
        <v>2</v>
      </c>
      <c r="G14" s="22">
        <f>Sabatier_RealWorld15[[#This Row],[Electricity]]-D7</f>
        <v>388.03090909090906</v>
      </c>
      <c r="H14" s="201"/>
    </row>
    <row r="15" spans="1:8" x14ac:dyDescent="0.35">
      <c r="A15" s="201"/>
      <c r="B15" s="1" t="s">
        <v>60</v>
      </c>
      <c r="C15" s="1">
        <f>INDEX(MolecularWeightsAndMesures[Litres in 1 mol],MATCH(Elektron!C13,MolecularWeightsAndMesures[Formula],0))*Elektron!C14</f>
        <v>3.5999999999999997E-2</v>
      </c>
      <c r="D15" s="22">
        <f>D8/Sabatier_Efficency</f>
        <v>862.29090909090905</v>
      </c>
      <c r="E15" s="1">
        <f>INDEX(MolecularWeightsAndMesures[Litres in 1 mol],MATCH(Elektron!E13,MolecularWeightsAndMesures[Formula],0))*Elektron!E14</f>
        <v>22.251891410769915</v>
      </c>
      <c r="F15" s="1">
        <f>INDEX(MolecularWeightsAndMesures[Litres in 1 mol],MATCH(Elektron!F13,MolecularWeightsAndMesures[Formula],0))*Elektron!F14</f>
        <v>44.786564030790764</v>
      </c>
      <c r="G15" s="22">
        <f>G14</f>
        <v>388.03090909090906</v>
      </c>
      <c r="H15" s="201"/>
    </row>
    <row r="17" spans="1:8" ht="18.5" x14ac:dyDescent="0.45">
      <c r="A17" s="74" t="s">
        <v>64</v>
      </c>
      <c r="B17" s="201"/>
      <c r="C17" s="201"/>
      <c r="D17" s="201"/>
      <c r="E17" s="201"/>
      <c r="F17" s="201"/>
      <c r="G17" s="201"/>
      <c r="H17" s="201"/>
    </row>
    <row r="18" spans="1:8" x14ac:dyDescent="0.35">
      <c r="A18" s="201"/>
      <c r="B18" s="44" t="s">
        <v>65</v>
      </c>
      <c r="C18" s="25">
        <v>2.3194028591911613E-3</v>
      </c>
      <c r="D18" s="201"/>
      <c r="E18" s="201"/>
      <c r="F18" s="201"/>
      <c r="G18" s="44"/>
      <c r="H18" s="201"/>
    </row>
    <row r="19" spans="1:8" x14ac:dyDescent="0.35">
      <c r="A19" s="201"/>
      <c r="B19" s="201"/>
      <c r="C19" s="75" t="s">
        <v>53</v>
      </c>
      <c r="D19" s="75"/>
      <c r="E19" s="250" t="s">
        <v>54</v>
      </c>
      <c r="F19" s="250"/>
      <c r="G19" s="250"/>
      <c r="H19" s="43"/>
    </row>
    <row r="20" spans="1:8" x14ac:dyDescent="0.35">
      <c r="A20" s="201"/>
      <c r="B20" s="1" t="s">
        <v>55</v>
      </c>
      <c r="C20" s="1" t="s">
        <v>26</v>
      </c>
      <c r="D20" s="1" t="s">
        <v>56</v>
      </c>
      <c r="E20" s="1" t="s">
        <v>20</v>
      </c>
      <c r="F20" s="1" t="s">
        <v>24</v>
      </c>
      <c r="G20" s="1" t="s">
        <v>63</v>
      </c>
      <c r="H20" s="201"/>
    </row>
    <row r="21" spans="1:8" x14ac:dyDescent="0.35">
      <c r="A21" s="201"/>
      <c r="B21" s="1" t="s">
        <v>58</v>
      </c>
      <c r="C21" s="1">
        <f t="shared" ref="C21:C22" si="0">C14*Sabatier_Throttle</f>
        <v>4.6388057183823226E-3</v>
      </c>
      <c r="D21" s="21">
        <f t="shared" ref="D21:G22" si="1">D14*Sabatier_Throttle</f>
        <v>2</v>
      </c>
      <c r="E21" s="1">
        <f t="shared" si="1"/>
        <v>2.3194028591911613E-3</v>
      </c>
      <c r="F21" s="1">
        <f t="shared" si="1"/>
        <v>4.6388057183823226E-3</v>
      </c>
      <c r="G21" s="21">
        <f t="shared" si="1"/>
        <v>0.9</v>
      </c>
      <c r="H21" s="201"/>
    </row>
    <row r="22" spans="1:8" x14ac:dyDescent="0.35">
      <c r="A22" s="201"/>
      <c r="B22" s="1" t="s">
        <v>60</v>
      </c>
      <c r="C22" s="1">
        <f t="shared" si="0"/>
        <v>8.3498502930881802E-5</v>
      </c>
      <c r="D22" s="21">
        <f t="shared" si="1"/>
        <v>2</v>
      </c>
      <c r="E22" s="1">
        <f t="shared" si="1"/>
        <v>5.1611100560550981E-2</v>
      </c>
      <c r="F22" s="1">
        <f t="shared" si="1"/>
        <v>0.10387808466636411</v>
      </c>
      <c r="G22" s="21">
        <f t="shared" si="1"/>
        <v>0.9</v>
      </c>
      <c r="H22" s="201"/>
    </row>
    <row r="24" spans="1:8" ht="18.5" x14ac:dyDescent="0.45">
      <c r="A24" s="74" t="s">
        <v>66</v>
      </c>
      <c r="B24" s="201"/>
      <c r="C24" s="201"/>
      <c r="D24" s="201"/>
      <c r="E24" s="201"/>
      <c r="F24" s="201"/>
      <c r="G24" s="201"/>
      <c r="H24" s="201"/>
    </row>
    <row r="25" spans="1:8" x14ac:dyDescent="0.35">
      <c r="A25" s="201"/>
      <c r="B25" s="201"/>
      <c r="C25" s="75" t="s">
        <v>53</v>
      </c>
      <c r="D25" s="75"/>
      <c r="E25" s="250" t="s">
        <v>54</v>
      </c>
      <c r="F25" s="250"/>
      <c r="G25" s="250"/>
      <c r="H25" s="43"/>
    </row>
    <row r="26" spans="1:8" x14ac:dyDescent="0.35">
      <c r="A26" s="201"/>
      <c r="B26" s="201"/>
      <c r="C26" s="1" t="s">
        <v>25</v>
      </c>
      <c r="D26" s="1" t="s">
        <v>67</v>
      </c>
      <c r="E26" s="1" t="s">
        <v>19</v>
      </c>
      <c r="F26" s="1" t="s">
        <v>23</v>
      </c>
      <c r="G26" s="1" t="s">
        <v>68</v>
      </c>
      <c r="H26" s="201"/>
    </row>
    <row r="27" spans="1:8" x14ac:dyDescent="0.35">
      <c r="A27" s="201"/>
      <c r="B27" s="201"/>
      <c r="C27" s="92">
        <f>C22</f>
        <v>8.3498502930881802E-5</v>
      </c>
      <c r="D27" s="24">
        <f>D22</f>
        <v>2</v>
      </c>
      <c r="E27" s="91">
        <f>E22</f>
        <v>5.1611100560550981E-2</v>
      </c>
      <c r="F27" s="91">
        <f>F22</f>
        <v>0.10387808466636411</v>
      </c>
      <c r="G27" s="23">
        <f>G22*50</f>
        <v>45</v>
      </c>
      <c r="H27" s="201"/>
    </row>
    <row r="30" spans="1:8" x14ac:dyDescent="0.35">
      <c r="A30" s="201"/>
      <c r="B30" s="201"/>
      <c r="C30" s="201"/>
      <c r="D30" s="201"/>
      <c r="E30" s="201"/>
      <c r="F30" s="201"/>
      <c r="G30" s="177"/>
      <c r="H30" s="201"/>
    </row>
    <row r="31" spans="1:8" x14ac:dyDescent="0.35">
      <c r="A31" s="201"/>
      <c r="B31" s="201"/>
      <c r="C31" s="204"/>
      <c r="D31" s="204"/>
      <c r="E31" s="204"/>
      <c r="F31" s="204"/>
      <c r="G31" s="204"/>
      <c r="H31" s="204"/>
    </row>
    <row r="32" spans="1:8" x14ac:dyDescent="0.35">
      <c r="A32" s="201"/>
      <c r="B32" s="201"/>
      <c r="C32" s="204"/>
      <c r="D32" s="204"/>
      <c r="E32" s="204"/>
      <c r="F32" s="204"/>
      <c r="G32" s="204"/>
      <c r="H32" s="204"/>
    </row>
    <row r="33" spans="3:8" x14ac:dyDescent="0.35">
      <c r="C33" s="204"/>
      <c r="D33" s="204"/>
      <c r="E33" s="204"/>
      <c r="F33" s="204"/>
      <c r="G33" s="204"/>
      <c r="H33" s="204"/>
    </row>
    <row r="34" spans="3:8" x14ac:dyDescent="0.35">
      <c r="C34" s="204"/>
      <c r="D34" s="204"/>
      <c r="E34" s="204"/>
      <c r="F34" s="204"/>
      <c r="G34" s="204"/>
      <c r="H34" s="204"/>
    </row>
    <row r="35" spans="3:8" x14ac:dyDescent="0.35">
      <c r="C35" s="204"/>
      <c r="D35" s="204"/>
      <c r="E35" s="204"/>
      <c r="F35" s="204"/>
      <c r="G35" s="204"/>
      <c r="H35" s="204"/>
    </row>
    <row r="36" spans="3:8" x14ac:dyDescent="0.35">
      <c r="C36" s="204"/>
      <c r="D36" s="204"/>
      <c r="E36" s="204"/>
      <c r="F36" s="204"/>
      <c r="G36" s="204"/>
      <c r="H36" s="204"/>
    </row>
    <row r="37" spans="3:8" x14ac:dyDescent="0.35">
      <c r="C37" s="204"/>
      <c r="D37" s="204"/>
      <c r="E37" s="204"/>
      <c r="F37" s="204"/>
      <c r="G37" s="204"/>
      <c r="H37" s="204"/>
    </row>
    <row r="38" spans="3:8" x14ac:dyDescent="0.35">
      <c r="C38" s="204"/>
      <c r="D38" s="204"/>
      <c r="E38" s="204"/>
      <c r="F38" s="204"/>
      <c r="G38" s="204"/>
      <c r="H38" s="204"/>
    </row>
    <row r="39" spans="3:8" x14ac:dyDescent="0.35">
      <c r="C39" s="204"/>
      <c r="D39" s="204"/>
      <c r="E39" s="204"/>
      <c r="F39" s="204"/>
      <c r="G39" s="204"/>
      <c r="H39" s="204"/>
    </row>
    <row r="40" spans="3:8" x14ac:dyDescent="0.35">
      <c r="C40" s="204"/>
      <c r="D40" s="204"/>
      <c r="E40" s="204"/>
      <c r="F40" s="204"/>
      <c r="G40" s="204"/>
      <c r="H40" s="204"/>
    </row>
    <row r="41" spans="3:8" x14ac:dyDescent="0.35">
      <c r="C41" s="204"/>
      <c r="D41" s="204"/>
      <c r="E41" s="204"/>
      <c r="F41" s="204"/>
      <c r="G41" s="204"/>
      <c r="H41" s="204"/>
    </row>
    <row r="42" spans="3:8" x14ac:dyDescent="0.35">
      <c r="C42" s="204"/>
      <c r="D42" s="204"/>
      <c r="E42" s="204"/>
      <c r="F42" s="204"/>
      <c r="G42" s="204"/>
      <c r="H42" s="204"/>
    </row>
    <row r="43" spans="3:8" x14ac:dyDescent="0.35">
      <c r="C43" s="204"/>
      <c r="D43" s="204"/>
      <c r="E43" s="204"/>
      <c r="F43" s="204"/>
      <c r="G43" s="204"/>
      <c r="H43" s="204"/>
    </row>
    <row r="44" spans="3:8" x14ac:dyDescent="0.35">
      <c r="C44" s="204"/>
      <c r="D44" s="204"/>
      <c r="E44" s="204"/>
      <c r="F44" s="204"/>
      <c r="G44" s="204"/>
      <c r="H44" s="204"/>
    </row>
    <row r="45" spans="3:8" x14ac:dyDescent="0.35">
      <c r="C45" s="204"/>
      <c r="D45" s="204"/>
      <c r="E45" s="204"/>
      <c r="F45" s="204"/>
      <c r="G45" s="204"/>
      <c r="H45" s="204"/>
    </row>
    <row r="46" spans="3:8" x14ac:dyDescent="0.35">
      <c r="C46" s="204"/>
      <c r="D46" s="204"/>
      <c r="E46" s="204"/>
      <c r="F46" s="204"/>
      <c r="G46" s="204"/>
      <c r="H46" s="204"/>
    </row>
    <row r="47" spans="3:8" x14ac:dyDescent="0.35">
      <c r="C47" s="204"/>
      <c r="D47" s="204"/>
      <c r="E47" s="204"/>
      <c r="F47" s="204"/>
      <c r="G47" s="204"/>
      <c r="H47" s="204"/>
    </row>
    <row r="48" spans="3:8" x14ac:dyDescent="0.35">
      <c r="C48" s="204"/>
      <c r="D48" s="204"/>
      <c r="E48" s="204"/>
      <c r="F48" s="204"/>
      <c r="G48" s="204"/>
      <c r="H48" s="204"/>
    </row>
    <row r="49" spans="3:8" x14ac:dyDescent="0.35">
      <c r="C49" s="204"/>
      <c r="D49" s="204"/>
      <c r="E49" s="204"/>
      <c r="F49" s="204"/>
      <c r="G49" s="204"/>
      <c r="H49" s="204"/>
    </row>
    <row r="50" spans="3:8" x14ac:dyDescent="0.35">
      <c r="C50" s="204"/>
      <c r="D50" s="204"/>
      <c r="E50" s="204"/>
      <c r="F50" s="204"/>
      <c r="G50" s="204"/>
      <c r="H50" s="204"/>
    </row>
    <row r="51" spans="3:8" x14ac:dyDescent="0.35">
      <c r="C51" s="204"/>
      <c r="D51" s="204"/>
      <c r="E51" s="204"/>
      <c r="F51" s="204"/>
      <c r="G51" s="204"/>
      <c r="H51" s="204"/>
    </row>
    <row r="52" spans="3:8" x14ac:dyDescent="0.35">
      <c r="C52" s="204"/>
      <c r="D52" s="204"/>
      <c r="E52" s="204"/>
      <c r="F52" s="204"/>
      <c r="G52" s="204"/>
      <c r="H52" s="204"/>
    </row>
    <row r="53" spans="3:8" x14ac:dyDescent="0.35">
      <c r="C53" s="204"/>
      <c r="D53" s="204"/>
      <c r="E53" s="204"/>
      <c r="F53" s="204"/>
      <c r="G53" s="204"/>
      <c r="H53" s="204"/>
    </row>
    <row r="54" spans="3:8" x14ac:dyDescent="0.35">
      <c r="C54" s="204"/>
      <c r="D54" s="204"/>
      <c r="E54" s="204"/>
      <c r="F54" s="204"/>
      <c r="G54" s="204"/>
      <c r="H54" s="204"/>
    </row>
    <row r="55" spans="3:8" x14ac:dyDescent="0.35">
      <c r="C55" s="204"/>
      <c r="D55" s="204"/>
      <c r="E55" s="204"/>
      <c r="F55" s="204"/>
      <c r="G55" s="204"/>
      <c r="H55" s="204"/>
    </row>
    <row r="56" spans="3:8" x14ac:dyDescent="0.35">
      <c r="C56" s="204"/>
      <c r="D56" s="204"/>
      <c r="E56" s="204"/>
      <c r="F56" s="204"/>
      <c r="G56" s="204"/>
      <c r="H56" s="204"/>
    </row>
  </sheetData>
  <mergeCells count="5">
    <mergeCell ref="A2:D2"/>
    <mergeCell ref="E5:F5"/>
    <mergeCell ref="E12:G12"/>
    <mergeCell ref="E19:G19"/>
    <mergeCell ref="E25:G25"/>
  </mergeCells>
  <hyperlinks>
    <hyperlink ref="A2" r:id="rId1" xr:uid="{9F9A2BD1-7DA9-4886-B804-83FACF4A43AB}"/>
  </hyperlinks>
  <pageMargins left="0.7" right="0.7" top="0.75" bottom="0.75" header="0.3" footer="0.3"/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13230-EACB-478F-BEC1-B5CA1DD51672}">
  <sheetPr codeName="Sheet5"/>
  <dimension ref="A1:H7"/>
  <sheetViews>
    <sheetView workbookViewId="0">
      <pane ySplit="2" topLeftCell="A3" activePane="bottomLeft" state="frozen"/>
      <selection pane="bottomLeft" activeCell="L13" sqref="L13"/>
    </sheetView>
  </sheetViews>
  <sheetFormatPr defaultRowHeight="14.5" x14ac:dyDescent="0.35"/>
  <cols>
    <col min="1" max="1" width="40.81640625" bestFit="1" customWidth="1"/>
    <col min="2" max="2" width="6.81640625" bestFit="1" customWidth="1"/>
    <col min="3" max="3" width="7.54296875" bestFit="1" customWidth="1"/>
    <col min="4" max="4" width="11.54296875" bestFit="1" customWidth="1"/>
    <col min="5" max="5" width="14.7265625" bestFit="1" customWidth="1"/>
    <col min="6" max="6" width="11.26953125" bestFit="1" customWidth="1"/>
  </cols>
  <sheetData>
    <row r="1" spans="1:8" ht="18.5" x14ac:dyDescent="0.45">
      <c r="A1" s="40" t="s">
        <v>84</v>
      </c>
      <c r="B1" s="254" t="s">
        <v>85</v>
      </c>
      <c r="C1" s="254"/>
      <c r="D1" s="254"/>
      <c r="E1" s="254"/>
      <c r="F1" s="254"/>
      <c r="G1" s="255" t="s">
        <v>86</v>
      </c>
      <c r="H1" s="255"/>
    </row>
    <row r="2" spans="1:8" x14ac:dyDescent="0.35">
      <c r="A2" t="s">
        <v>87</v>
      </c>
      <c r="B2" t="s">
        <v>88</v>
      </c>
      <c r="C2" t="s">
        <v>89</v>
      </c>
      <c r="D2" t="s">
        <v>90</v>
      </c>
      <c r="E2" t="s">
        <v>91</v>
      </c>
      <c r="F2" t="s">
        <v>92</v>
      </c>
      <c r="G2" s="42" t="s">
        <v>93</v>
      </c>
      <c r="H2" s="42" t="s">
        <v>94</v>
      </c>
    </row>
    <row r="3" spans="1:8" x14ac:dyDescent="0.35">
      <c r="A3" s="1" t="s">
        <v>95</v>
      </c>
      <c r="B3" s="33">
        <v>32</v>
      </c>
      <c r="C3" s="33">
        <v>2E-3</v>
      </c>
      <c r="D3" s="33">
        <v>2000</v>
      </c>
      <c r="E3" s="1" t="s">
        <v>96</v>
      </c>
      <c r="F3" s="33">
        <v>3600</v>
      </c>
      <c r="G3" s="33"/>
      <c r="H3" s="33"/>
    </row>
    <row r="4" spans="1:8" x14ac:dyDescent="0.35">
      <c r="A4" s="1" t="s">
        <v>97</v>
      </c>
      <c r="B4" s="33">
        <v>149</v>
      </c>
      <c r="C4" s="33">
        <v>3.3000000000000002E-2</v>
      </c>
      <c r="D4" s="33">
        <v>2500</v>
      </c>
      <c r="E4" s="1" t="s">
        <v>96</v>
      </c>
      <c r="F4" s="33">
        <v>3600</v>
      </c>
      <c r="G4" s="33"/>
      <c r="H4" s="33"/>
    </row>
    <row r="5" spans="1:8" x14ac:dyDescent="0.35">
      <c r="A5" s="1" t="s">
        <v>98</v>
      </c>
      <c r="B5" s="33">
        <v>83</v>
      </c>
      <c r="C5" s="33">
        <v>1.0999999999999999E-2</v>
      </c>
      <c r="D5" s="33">
        <v>2000</v>
      </c>
      <c r="E5" s="1" t="s">
        <v>99</v>
      </c>
      <c r="F5" s="33">
        <v>6200</v>
      </c>
      <c r="G5" s="33"/>
      <c r="H5" s="33"/>
    </row>
    <row r="6" spans="1:8" x14ac:dyDescent="0.35">
      <c r="A6" s="1" t="s">
        <v>100</v>
      </c>
      <c r="B6" s="33">
        <v>293</v>
      </c>
      <c r="C6" s="33">
        <v>5.0000000000000001E-3</v>
      </c>
      <c r="D6" s="33">
        <v>2000</v>
      </c>
      <c r="E6" s="1" t="s">
        <v>101</v>
      </c>
      <c r="F6" s="33">
        <v>3600</v>
      </c>
      <c r="G6" s="33"/>
      <c r="H6" s="33"/>
    </row>
    <row r="7" spans="1:8" x14ac:dyDescent="0.35">
      <c r="A7" s="1" t="s">
        <v>102</v>
      </c>
      <c r="B7" s="33">
        <v>152</v>
      </c>
      <c r="C7" s="33">
        <v>8.3000000000000004E-2</v>
      </c>
      <c r="D7" s="33">
        <v>2000</v>
      </c>
      <c r="E7" s="1" t="s">
        <v>103</v>
      </c>
      <c r="F7" s="33">
        <v>3600</v>
      </c>
      <c r="G7" s="33">
        <v>500</v>
      </c>
      <c r="H7" s="33">
        <v>8.0000000000000002E-3</v>
      </c>
    </row>
  </sheetData>
  <mergeCells count="2">
    <mergeCell ref="B1:F1"/>
    <mergeCell ref="G1:H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D628F-CD80-410D-BB89-204705249749}">
  <sheetPr>
    <tabColor theme="4" tint="-0.249977111117893"/>
  </sheetPr>
  <dimension ref="A1:C9"/>
  <sheetViews>
    <sheetView workbookViewId="0">
      <selection activeCell="C6" sqref="C6"/>
    </sheetView>
  </sheetViews>
  <sheetFormatPr defaultColWidth="9.1796875" defaultRowHeight="14.5" x14ac:dyDescent="0.35"/>
  <cols>
    <col min="1" max="1" width="11.26953125" style="12" customWidth="1"/>
    <col min="2" max="2" width="23" style="12" bestFit="1" customWidth="1"/>
    <col min="3" max="3" width="9.7265625" style="12" customWidth="1"/>
    <col min="4" max="16384" width="9.1796875" style="12"/>
  </cols>
  <sheetData>
    <row r="1" spans="1:3" s="172" customFormat="1" ht="28.5" x14ac:dyDescent="0.65">
      <c r="A1" s="73" t="s">
        <v>104</v>
      </c>
      <c r="B1" s="201"/>
      <c r="C1" s="201"/>
    </row>
    <row r="4" spans="1:3" x14ac:dyDescent="0.35">
      <c r="A4" s="204" t="s">
        <v>105</v>
      </c>
      <c r="B4" s="204"/>
      <c r="C4" s="204"/>
    </row>
    <row r="5" spans="1:3" x14ac:dyDescent="0.35">
      <c r="A5" t="s">
        <v>11</v>
      </c>
      <c r="B5" t="s">
        <v>106</v>
      </c>
      <c r="C5" t="s">
        <v>107</v>
      </c>
    </row>
    <row r="6" spans="1:3" x14ac:dyDescent="0.35">
      <c r="A6" t="s">
        <v>73</v>
      </c>
      <c r="B6">
        <v>1.6927083333000001E-5</v>
      </c>
      <c r="C6">
        <f>B6*60*60*24</f>
        <v>1.4624999999712001</v>
      </c>
    </row>
    <row r="7" spans="1:3" x14ac:dyDescent="0.35">
      <c r="A7" t="s">
        <v>25</v>
      </c>
      <c r="B7">
        <v>1.1188078703999999E-5</v>
      </c>
      <c r="C7">
        <f t="shared" ref="C7:C9" si="0">B7*60*60*24</f>
        <v>0.96665000002559998</v>
      </c>
    </row>
    <row r="8" spans="1:3" x14ac:dyDescent="0.35">
      <c r="A8" t="s">
        <v>23</v>
      </c>
      <c r="B8">
        <v>1.7135375623849999E-3</v>
      </c>
      <c r="C8">
        <f t="shared" si="0"/>
        <v>148.04964539006397</v>
      </c>
    </row>
    <row r="9" spans="1:3" x14ac:dyDescent="0.35">
      <c r="A9" t="s">
        <v>67</v>
      </c>
      <c r="B9">
        <v>4.2500000000000003E-3</v>
      </c>
      <c r="C9">
        <f t="shared" si="0"/>
        <v>367.20000000000005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17CF4-0886-438C-B074-10F2A6500876}">
  <sheetPr codeName="Sheet6">
    <tabColor theme="5" tint="0.39997558519241921"/>
  </sheetPr>
  <dimension ref="A1:F184"/>
  <sheetViews>
    <sheetView workbookViewId="0">
      <pane ySplit="2" topLeftCell="A149" activePane="bottomLeft" state="frozen"/>
      <selection pane="bottomLeft" activeCell="C92" sqref="C92"/>
    </sheetView>
  </sheetViews>
  <sheetFormatPr defaultRowHeight="14.5" x14ac:dyDescent="0.35"/>
  <cols>
    <col min="1" max="1" width="4.26953125" bestFit="1" customWidth="1"/>
    <col min="2" max="2" width="9" bestFit="1" customWidth="1"/>
    <col min="3" max="3" width="15.453125" bestFit="1" customWidth="1"/>
    <col min="4" max="4" width="12" style="1" bestFit="1" customWidth="1"/>
    <col min="5" max="5" width="9.7265625" style="1" bestFit="1" customWidth="1"/>
    <col min="6" max="6" width="12" style="1" bestFit="1" customWidth="1"/>
  </cols>
  <sheetData>
    <row r="1" spans="1:6" s="39" customFormat="1" ht="36.65" customHeight="1" x14ac:dyDescent="0.35">
      <c r="A1" s="256" t="s">
        <v>108</v>
      </c>
      <c r="B1" s="256"/>
      <c r="C1" s="256"/>
      <c r="D1" s="256"/>
      <c r="E1" s="256"/>
      <c r="F1" s="256"/>
    </row>
    <row r="2" spans="1:6" x14ac:dyDescent="0.35">
      <c r="A2" t="s">
        <v>109</v>
      </c>
      <c r="B2" t="s">
        <v>110</v>
      </c>
      <c r="C2" t="s">
        <v>111</v>
      </c>
      <c r="D2" s="1" t="s">
        <v>112</v>
      </c>
      <c r="E2" s="1" t="s">
        <v>113</v>
      </c>
      <c r="F2" s="1" t="s">
        <v>114</v>
      </c>
    </row>
    <row r="3" spans="1:6" x14ac:dyDescent="0.35">
      <c r="A3">
        <v>56</v>
      </c>
      <c r="B3" t="s">
        <v>115</v>
      </c>
      <c r="C3" t="s">
        <v>116</v>
      </c>
      <c r="D3" s="1">
        <v>1.0970000000000001E-2</v>
      </c>
      <c r="E3" s="1">
        <v>1</v>
      </c>
      <c r="F3" s="1">
        <v>0</v>
      </c>
    </row>
    <row r="4" spans="1:6" x14ac:dyDescent="0.35">
      <c r="A4">
        <v>123</v>
      </c>
      <c r="B4" t="s">
        <v>115</v>
      </c>
      <c r="C4" t="s">
        <v>117</v>
      </c>
      <c r="D4" s="1">
        <v>8.9999999999999998E-4</v>
      </c>
      <c r="E4" s="1">
        <v>1</v>
      </c>
      <c r="F4" s="1">
        <v>1.35</v>
      </c>
    </row>
    <row r="5" spans="1:6" x14ac:dyDescent="0.35">
      <c r="A5">
        <v>124</v>
      </c>
      <c r="B5" t="s">
        <v>115</v>
      </c>
      <c r="C5" t="s">
        <v>118</v>
      </c>
      <c r="D5" s="1">
        <v>1.4989999999999999E-3</v>
      </c>
      <c r="E5" s="1">
        <v>1</v>
      </c>
      <c r="F5" s="1">
        <v>0.29980000000000001</v>
      </c>
    </row>
    <row r="6" spans="1:6" x14ac:dyDescent="0.35">
      <c r="A6">
        <v>125</v>
      </c>
      <c r="B6" t="s">
        <v>115</v>
      </c>
      <c r="C6" t="s">
        <v>119</v>
      </c>
      <c r="D6" s="1">
        <v>1.4940000000000001E-3</v>
      </c>
      <c r="E6" s="1">
        <v>1</v>
      </c>
      <c r="F6" s="1">
        <v>0.29880000000000001</v>
      </c>
    </row>
    <row r="7" spans="1:6" x14ac:dyDescent="0.35">
      <c r="A7">
        <v>58</v>
      </c>
      <c r="B7" t="s">
        <v>115</v>
      </c>
      <c r="C7" t="s">
        <v>120</v>
      </c>
      <c r="D7" s="1">
        <v>3.98E-3</v>
      </c>
      <c r="E7" s="1">
        <v>1</v>
      </c>
      <c r="F7" s="1">
        <v>0.5</v>
      </c>
    </row>
    <row r="8" spans="1:6" x14ac:dyDescent="0.35">
      <c r="A8">
        <v>57</v>
      </c>
      <c r="B8" t="s">
        <v>115</v>
      </c>
      <c r="C8" t="s">
        <v>121</v>
      </c>
      <c r="D8" s="1">
        <v>2.7699999999999999E-3</v>
      </c>
      <c r="E8" s="1">
        <v>1</v>
      </c>
      <c r="F8" s="1">
        <v>1.5</v>
      </c>
    </row>
    <row r="9" spans="1:6" x14ac:dyDescent="0.35">
      <c r="A9">
        <v>59</v>
      </c>
      <c r="B9" t="s">
        <v>115</v>
      </c>
      <c r="C9" t="s">
        <v>122</v>
      </c>
      <c r="D9" s="1">
        <v>7.6899999999999996E-7</v>
      </c>
      <c r="E9" s="1">
        <v>1</v>
      </c>
      <c r="F9" s="1">
        <v>1.4999999999999999E-4</v>
      </c>
    </row>
    <row r="10" spans="1:6" x14ac:dyDescent="0.35">
      <c r="A10">
        <v>126</v>
      </c>
      <c r="B10" t="s">
        <v>115</v>
      </c>
      <c r="C10" t="s">
        <v>123</v>
      </c>
      <c r="D10" s="1">
        <v>1.0200000000000001E-3</v>
      </c>
      <c r="E10" s="1">
        <v>1</v>
      </c>
      <c r="F10" s="1">
        <v>0.5213333</v>
      </c>
    </row>
    <row r="11" spans="1:6" x14ac:dyDescent="0.35">
      <c r="A11">
        <v>61</v>
      </c>
      <c r="B11" t="s">
        <v>115</v>
      </c>
      <c r="C11" t="s">
        <v>124</v>
      </c>
      <c r="D11" s="1">
        <v>8.6000000000000003E-5</v>
      </c>
      <c r="E11" s="1">
        <v>1</v>
      </c>
      <c r="F11" s="1">
        <v>8600000</v>
      </c>
    </row>
    <row r="12" spans="1:6" x14ac:dyDescent="0.35">
      <c r="A12">
        <v>60</v>
      </c>
      <c r="B12" t="s">
        <v>115</v>
      </c>
      <c r="C12" t="s">
        <v>125</v>
      </c>
      <c r="D12" s="1">
        <v>1.0000000000000001E-9</v>
      </c>
      <c r="E12" s="1">
        <v>1</v>
      </c>
      <c r="F12" s="1">
        <v>100</v>
      </c>
    </row>
    <row r="13" spans="1:6" x14ac:dyDescent="0.35">
      <c r="A13">
        <v>49</v>
      </c>
      <c r="B13" t="s">
        <v>115</v>
      </c>
      <c r="C13" t="s">
        <v>126</v>
      </c>
      <c r="D13" s="1">
        <v>1.784E-6</v>
      </c>
      <c r="E13" s="1">
        <v>1</v>
      </c>
      <c r="F13" s="1">
        <v>1.0500000000000001E-2</v>
      </c>
    </row>
    <row r="14" spans="1:6" x14ac:dyDescent="0.35">
      <c r="A14">
        <v>127</v>
      </c>
      <c r="B14" t="s">
        <v>115</v>
      </c>
      <c r="C14" t="s">
        <v>127</v>
      </c>
      <c r="D14" s="1">
        <v>7.1900000000000002E-4</v>
      </c>
      <c r="E14" s="1">
        <v>1</v>
      </c>
      <c r="F14" s="1">
        <v>0.12</v>
      </c>
    </row>
    <row r="15" spans="1:6" x14ac:dyDescent="0.35">
      <c r="A15">
        <v>63</v>
      </c>
      <c r="B15" t="s">
        <v>115</v>
      </c>
      <c r="C15" t="s">
        <v>128</v>
      </c>
      <c r="D15" s="1">
        <v>1.73E-3</v>
      </c>
      <c r="E15" s="1">
        <v>1</v>
      </c>
      <c r="F15" s="1">
        <v>0.02</v>
      </c>
    </row>
    <row r="16" spans="1:6" x14ac:dyDescent="0.35">
      <c r="A16">
        <v>50</v>
      </c>
      <c r="B16" t="s">
        <v>115</v>
      </c>
      <c r="C16" t="s">
        <v>129</v>
      </c>
      <c r="D16" s="1">
        <v>2.4599999999999999E-3</v>
      </c>
      <c r="E16" s="1">
        <v>1</v>
      </c>
      <c r="F16" s="1">
        <v>0.85099999999999998</v>
      </c>
    </row>
    <row r="17" spans="1:6" x14ac:dyDescent="0.35">
      <c r="A17">
        <v>64</v>
      </c>
      <c r="B17" t="s">
        <v>115</v>
      </c>
      <c r="C17" t="s">
        <v>130</v>
      </c>
      <c r="D17" s="1">
        <v>1.9300000000000001E-3</v>
      </c>
      <c r="E17" s="1">
        <v>1</v>
      </c>
      <c r="F17" s="1">
        <v>77</v>
      </c>
    </row>
    <row r="18" spans="1:6" x14ac:dyDescent="0.35">
      <c r="A18">
        <v>65</v>
      </c>
      <c r="B18" t="s">
        <v>115</v>
      </c>
      <c r="C18" t="s">
        <v>131</v>
      </c>
      <c r="D18" s="1">
        <v>1.5499999999999999E-3</v>
      </c>
      <c r="E18" s="1">
        <v>1</v>
      </c>
      <c r="F18" s="1">
        <v>1.4999999999999999E-4</v>
      </c>
    </row>
    <row r="19" spans="1:6" x14ac:dyDescent="0.35">
      <c r="A19">
        <v>67</v>
      </c>
      <c r="B19" t="s">
        <v>115</v>
      </c>
      <c r="C19" t="s">
        <v>132</v>
      </c>
      <c r="D19" s="1">
        <v>2.0999999999999999E-3</v>
      </c>
      <c r="E19" s="1">
        <v>1</v>
      </c>
      <c r="F19" s="1">
        <v>0</v>
      </c>
    </row>
    <row r="20" spans="1:6" x14ac:dyDescent="0.35">
      <c r="A20">
        <v>16</v>
      </c>
      <c r="B20" t="s">
        <v>115</v>
      </c>
      <c r="C20" t="s">
        <v>81</v>
      </c>
      <c r="D20" s="1">
        <v>1.951E-6</v>
      </c>
      <c r="E20" s="1">
        <v>1</v>
      </c>
      <c r="F20" s="1">
        <v>2.8636999999999998E-6</v>
      </c>
    </row>
    <row r="21" spans="1:6" x14ac:dyDescent="0.35">
      <c r="A21">
        <v>66</v>
      </c>
      <c r="B21" t="s">
        <v>115</v>
      </c>
      <c r="C21" t="s">
        <v>133</v>
      </c>
      <c r="D21" s="1">
        <v>1.2500000000000001E-6</v>
      </c>
      <c r="E21" s="1">
        <v>1</v>
      </c>
      <c r="F21" s="1">
        <v>3.32E-6</v>
      </c>
    </row>
    <row r="22" spans="1:6" x14ac:dyDescent="0.35">
      <c r="A22">
        <v>128</v>
      </c>
      <c r="B22" t="s">
        <v>115</v>
      </c>
      <c r="C22" t="s">
        <v>134</v>
      </c>
      <c r="D22" s="1">
        <v>1.5009999999999999E-3</v>
      </c>
      <c r="E22" s="1">
        <v>1</v>
      </c>
      <c r="F22" s="1">
        <v>0.33022000000000001</v>
      </c>
    </row>
    <row r="23" spans="1:6" x14ac:dyDescent="0.35">
      <c r="A23">
        <v>68</v>
      </c>
      <c r="B23" t="s">
        <v>115</v>
      </c>
      <c r="C23" t="s">
        <v>135</v>
      </c>
      <c r="D23" s="1">
        <v>0</v>
      </c>
      <c r="E23" s="1">
        <v>1</v>
      </c>
      <c r="F23" s="1">
        <v>0</v>
      </c>
    </row>
    <row r="24" spans="1:6" x14ac:dyDescent="0.35">
      <c r="A24">
        <v>17</v>
      </c>
      <c r="B24" t="s">
        <v>115</v>
      </c>
      <c r="C24" t="s">
        <v>136</v>
      </c>
      <c r="D24" s="1">
        <v>2.5000000000000001E-3</v>
      </c>
      <c r="E24" s="1">
        <v>1</v>
      </c>
      <c r="F24" s="1">
        <v>16</v>
      </c>
    </row>
    <row r="25" spans="1:6" x14ac:dyDescent="0.35">
      <c r="A25">
        <v>69</v>
      </c>
      <c r="B25" t="s">
        <v>115</v>
      </c>
      <c r="C25" t="s">
        <v>137</v>
      </c>
      <c r="D25" s="1">
        <v>3.2000000000000002E-3</v>
      </c>
      <c r="E25" s="1">
        <v>1</v>
      </c>
      <c r="F25" s="1">
        <v>1.4999999999999999E-4</v>
      </c>
    </row>
    <row r="26" spans="1:6" x14ac:dyDescent="0.35">
      <c r="A26">
        <v>129</v>
      </c>
      <c r="B26" t="s">
        <v>115</v>
      </c>
      <c r="C26" t="s">
        <v>138</v>
      </c>
      <c r="D26" s="1">
        <v>1.7700000000000001E-3</v>
      </c>
      <c r="E26" s="1">
        <v>1</v>
      </c>
      <c r="F26" s="1">
        <v>10.62</v>
      </c>
    </row>
    <row r="27" spans="1:6" x14ac:dyDescent="0.35">
      <c r="A27">
        <v>130</v>
      </c>
      <c r="B27" t="s">
        <v>115</v>
      </c>
      <c r="C27" t="s">
        <v>139</v>
      </c>
      <c r="D27" s="1">
        <v>1.9E-3</v>
      </c>
      <c r="E27" s="1">
        <v>1</v>
      </c>
      <c r="F27" s="1">
        <v>15.2</v>
      </c>
    </row>
    <row r="28" spans="1:6" x14ac:dyDescent="0.35">
      <c r="A28">
        <v>14</v>
      </c>
      <c r="B28" t="s">
        <v>115</v>
      </c>
      <c r="C28" t="s">
        <v>140</v>
      </c>
      <c r="D28" s="1">
        <v>1.5560000000000001E-3</v>
      </c>
      <c r="E28" s="1">
        <v>1</v>
      </c>
      <c r="F28" s="1">
        <v>15</v>
      </c>
    </row>
    <row r="29" spans="1:6" x14ac:dyDescent="0.35">
      <c r="A29">
        <v>70</v>
      </c>
      <c r="B29" t="s">
        <v>115</v>
      </c>
      <c r="C29" t="s">
        <v>141</v>
      </c>
      <c r="D29" s="1">
        <v>1.283E-6</v>
      </c>
      <c r="E29" s="1">
        <v>1</v>
      </c>
      <c r="F29" s="1">
        <v>4.0000000000000003E-5</v>
      </c>
    </row>
    <row r="30" spans="1:6" x14ac:dyDescent="0.35">
      <c r="A30">
        <v>71</v>
      </c>
      <c r="B30" t="s">
        <v>115</v>
      </c>
      <c r="C30" t="s">
        <v>142</v>
      </c>
      <c r="D30" s="1">
        <v>9.3999999999999997E-4</v>
      </c>
      <c r="E30" s="1">
        <v>1</v>
      </c>
      <c r="F30" s="1">
        <v>0.34499999999999997</v>
      </c>
    </row>
    <row r="31" spans="1:6" x14ac:dyDescent="0.35">
      <c r="A31">
        <v>74</v>
      </c>
      <c r="B31" t="s">
        <v>115</v>
      </c>
      <c r="C31" t="s">
        <v>143</v>
      </c>
      <c r="D31" s="1">
        <v>1.0970000000000001E-2</v>
      </c>
      <c r="E31" s="1">
        <v>1</v>
      </c>
      <c r="F31" s="1">
        <v>0</v>
      </c>
    </row>
    <row r="32" spans="1:6" x14ac:dyDescent="0.35">
      <c r="A32">
        <v>52</v>
      </c>
      <c r="B32" t="s">
        <v>115</v>
      </c>
      <c r="C32" t="s">
        <v>144</v>
      </c>
      <c r="D32" s="1">
        <v>1.0970000000000001E-2</v>
      </c>
      <c r="E32" s="1">
        <v>1</v>
      </c>
      <c r="F32" s="1">
        <v>0</v>
      </c>
    </row>
    <row r="33" spans="1:6" x14ac:dyDescent="0.35">
      <c r="A33">
        <v>72</v>
      </c>
      <c r="B33" t="s">
        <v>115</v>
      </c>
      <c r="C33" t="s">
        <v>145</v>
      </c>
      <c r="D33" s="1">
        <v>1.8E-7</v>
      </c>
      <c r="E33" s="1">
        <v>1</v>
      </c>
      <c r="F33" s="1">
        <v>2.7999999999999998E-4</v>
      </c>
    </row>
    <row r="34" spans="1:6" x14ac:dyDescent="0.35">
      <c r="A34">
        <v>131</v>
      </c>
      <c r="B34" t="s">
        <v>115</v>
      </c>
      <c r="C34" t="s">
        <v>146</v>
      </c>
      <c r="D34" s="1">
        <v>4.2099999999999999E-4</v>
      </c>
      <c r="E34" s="1">
        <v>1</v>
      </c>
      <c r="F34" s="1">
        <v>4.21</v>
      </c>
    </row>
    <row r="35" spans="1:6" x14ac:dyDescent="0.35">
      <c r="A35">
        <v>18</v>
      </c>
      <c r="B35" t="s">
        <v>115</v>
      </c>
      <c r="C35" t="s">
        <v>147</v>
      </c>
      <c r="D35" s="1">
        <v>1.6000000000000001E-3</v>
      </c>
      <c r="E35" s="1">
        <v>1</v>
      </c>
      <c r="F35" s="1">
        <v>0.3</v>
      </c>
    </row>
    <row r="36" spans="1:6" x14ac:dyDescent="0.35">
      <c r="A36">
        <v>53</v>
      </c>
      <c r="B36" t="s">
        <v>115</v>
      </c>
      <c r="C36" t="s">
        <v>148</v>
      </c>
      <c r="D36" s="1">
        <v>1.0970000000000001E-2</v>
      </c>
      <c r="E36" s="1">
        <v>1</v>
      </c>
      <c r="F36" s="1">
        <v>865</v>
      </c>
    </row>
    <row r="37" spans="1:6" x14ac:dyDescent="0.35">
      <c r="A37">
        <v>132</v>
      </c>
      <c r="B37" t="s">
        <v>115</v>
      </c>
      <c r="C37" t="s">
        <v>149</v>
      </c>
      <c r="D37" s="1">
        <v>5.44E-4</v>
      </c>
      <c r="E37" s="1">
        <v>1</v>
      </c>
      <c r="F37" s="1">
        <v>9.2480000000000007E-2</v>
      </c>
    </row>
    <row r="38" spans="1:6" x14ac:dyDescent="0.35">
      <c r="A38">
        <v>133</v>
      </c>
      <c r="B38" t="s">
        <v>115</v>
      </c>
      <c r="C38" t="s">
        <v>150</v>
      </c>
      <c r="D38" s="1">
        <v>7.8899999999999999E-4</v>
      </c>
      <c r="E38" s="1">
        <v>1</v>
      </c>
      <c r="F38" s="1">
        <v>0.12623999999999999</v>
      </c>
    </row>
    <row r="39" spans="1:6" x14ac:dyDescent="0.35">
      <c r="A39">
        <v>134</v>
      </c>
      <c r="B39" t="s">
        <v>115</v>
      </c>
      <c r="C39" t="s">
        <v>151</v>
      </c>
      <c r="D39" s="1">
        <v>8.4175000000000005E-4</v>
      </c>
      <c r="E39" s="1">
        <v>1</v>
      </c>
      <c r="F39" s="1">
        <v>0.12623999999999999</v>
      </c>
    </row>
    <row r="40" spans="1:6" x14ac:dyDescent="0.35">
      <c r="A40">
        <v>135</v>
      </c>
      <c r="B40" t="s">
        <v>115</v>
      </c>
      <c r="C40" t="s">
        <v>152</v>
      </c>
      <c r="D40" s="1">
        <v>8.1010000000000001E-4</v>
      </c>
      <c r="E40" s="1">
        <v>1</v>
      </c>
      <c r="F40" s="1">
        <v>0.12623999999999999</v>
      </c>
    </row>
    <row r="41" spans="1:6" x14ac:dyDescent="0.35">
      <c r="A41">
        <v>136</v>
      </c>
      <c r="B41" t="s">
        <v>115</v>
      </c>
      <c r="C41" t="s">
        <v>153</v>
      </c>
      <c r="D41" s="1">
        <v>5.6800000000000004E-4</v>
      </c>
      <c r="E41" s="1">
        <v>1</v>
      </c>
      <c r="F41" s="1">
        <v>9.6560000000000007E-2</v>
      </c>
    </row>
    <row r="42" spans="1:6" x14ac:dyDescent="0.35">
      <c r="A42">
        <v>75</v>
      </c>
      <c r="B42" t="s">
        <v>115</v>
      </c>
      <c r="C42" t="s">
        <v>154</v>
      </c>
      <c r="D42" s="1">
        <v>0</v>
      </c>
      <c r="E42" s="1">
        <v>1</v>
      </c>
      <c r="F42" s="1">
        <v>0</v>
      </c>
    </row>
    <row r="43" spans="1:6" x14ac:dyDescent="0.35">
      <c r="A43">
        <v>19</v>
      </c>
      <c r="B43" t="s">
        <v>115</v>
      </c>
      <c r="C43" t="s">
        <v>155</v>
      </c>
      <c r="D43" s="1">
        <v>2.5000000000000001E-3</v>
      </c>
      <c r="E43" s="1">
        <v>1</v>
      </c>
      <c r="F43" s="1">
        <v>160</v>
      </c>
    </row>
    <row r="44" spans="1:6" x14ac:dyDescent="0.35">
      <c r="A44">
        <v>22</v>
      </c>
      <c r="B44" t="s">
        <v>115</v>
      </c>
      <c r="C44" t="s">
        <v>156</v>
      </c>
      <c r="D44" s="1">
        <v>1E-3</v>
      </c>
      <c r="E44" s="1">
        <v>1</v>
      </c>
      <c r="F44" s="1">
        <v>2</v>
      </c>
    </row>
    <row r="45" spans="1:6" x14ac:dyDescent="0.35">
      <c r="A45">
        <v>137</v>
      </c>
      <c r="B45" t="s">
        <v>115</v>
      </c>
      <c r="C45" t="s">
        <v>157</v>
      </c>
      <c r="D45" s="1">
        <v>1.2516999999999999E-3</v>
      </c>
      <c r="E45" s="1">
        <v>1</v>
      </c>
      <c r="F45" s="1">
        <v>2.4032640000000001</v>
      </c>
    </row>
    <row r="46" spans="1:6" x14ac:dyDescent="0.35">
      <c r="A46">
        <v>138</v>
      </c>
      <c r="B46" t="s">
        <v>115</v>
      </c>
      <c r="C46" t="s">
        <v>158</v>
      </c>
      <c r="D46" s="1">
        <v>1.3993E-3</v>
      </c>
      <c r="E46" s="1">
        <v>1</v>
      </c>
      <c r="F46" s="1">
        <v>6.1849059999999998</v>
      </c>
    </row>
    <row r="47" spans="1:6" x14ac:dyDescent="0.35">
      <c r="A47">
        <v>139</v>
      </c>
      <c r="B47" t="s">
        <v>115</v>
      </c>
      <c r="C47" t="s">
        <v>159</v>
      </c>
      <c r="D47" s="1">
        <v>1.4656999999999999E-3</v>
      </c>
      <c r="E47" s="1">
        <v>1</v>
      </c>
      <c r="F47" s="1">
        <v>8.1346349999999994</v>
      </c>
    </row>
    <row r="48" spans="1:6" x14ac:dyDescent="0.35">
      <c r="A48">
        <v>76</v>
      </c>
      <c r="B48" t="s">
        <v>115</v>
      </c>
      <c r="C48" t="s">
        <v>160</v>
      </c>
      <c r="D48" s="1">
        <v>1.6959999999999999E-6</v>
      </c>
      <c r="E48" s="1">
        <v>1</v>
      </c>
      <c r="F48" s="1">
        <v>1.0175999999999999E-2</v>
      </c>
    </row>
    <row r="49" spans="1:6" x14ac:dyDescent="0.35">
      <c r="A49">
        <v>77</v>
      </c>
      <c r="B49" t="s">
        <v>115</v>
      </c>
      <c r="C49" t="s">
        <v>161</v>
      </c>
      <c r="D49" s="1">
        <v>3.2000000000000002E-3</v>
      </c>
      <c r="E49" s="1">
        <v>1</v>
      </c>
      <c r="F49" s="1">
        <v>9.35</v>
      </c>
    </row>
    <row r="50" spans="1:6" x14ac:dyDescent="0.35">
      <c r="A50">
        <v>20</v>
      </c>
      <c r="B50" t="s">
        <v>115</v>
      </c>
      <c r="C50" t="s">
        <v>73</v>
      </c>
      <c r="D50" s="1">
        <v>2.8102905982906002E-4</v>
      </c>
      <c r="E50" s="1">
        <v>1</v>
      </c>
      <c r="F50" s="1">
        <v>0.238874700854701</v>
      </c>
    </row>
    <row r="51" spans="1:6" x14ac:dyDescent="0.35">
      <c r="A51">
        <v>140</v>
      </c>
      <c r="B51" t="s">
        <v>115</v>
      </c>
      <c r="C51" t="s">
        <v>162</v>
      </c>
      <c r="D51" s="1">
        <v>1.1299999999999999E-3</v>
      </c>
      <c r="E51" s="1">
        <v>1</v>
      </c>
      <c r="F51" s="1">
        <v>0.18079999999999999</v>
      </c>
    </row>
    <row r="52" spans="1:6" x14ac:dyDescent="0.35">
      <c r="A52">
        <v>180</v>
      </c>
      <c r="B52" t="s">
        <v>115</v>
      </c>
      <c r="C52" t="s">
        <v>163</v>
      </c>
      <c r="D52" s="1">
        <v>2.1599999999999999E-4</v>
      </c>
      <c r="E52" s="1">
        <v>1</v>
      </c>
      <c r="F52" s="1">
        <v>150</v>
      </c>
    </row>
    <row r="53" spans="1:6" x14ac:dyDescent="0.35">
      <c r="A53">
        <v>179</v>
      </c>
      <c r="B53" t="s">
        <v>115</v>
      </c>
      <c r="C53" t="s">
        <v>164</v>
      </c>
      <c r="D53" s="1">
        <v>1.2E-2</v>
      </c>
      <c r="E53" s="1">
        <v>1</v>
      </c>
      <c r="F53" s="1">
        <v>2</v>
      </c>
    </row>
    <row r="54" spans="1:6" x14ac:dyDescent="0.35">
      <c r="A54">
        <v>12</v>
      </c>
      <c r="B54" t="s">
        <v>115</v>
      </c>
      <c r="C54" t="s">
        <v>165</v>
      </c>
      <c r="D54" s="1">
        <v>5.4999999999999997E-3</v>
      </c>
      <c r="E54" s="1">
        <v>1</v>
      </c>
      <c r="F54" s="1">
        <v>0.01</v>
      </c>
    </row>
    <row r="55" spans="1:6" x14ac:dyDescent="0.35">
      <c r="A55">
        <v>78</v>
      </c>
      <c r="B55" t="s">
        <v>115</v>
      </c>
      <c r="C55" t="s">
        <v>166</v>
      </c>
      <c r="D55" s="1">
        <v>1.1069999999999999E-3</v>
      </c>
      <c r="E55" s="1">
        <v>1</v>
      </c>
      <c r="F55" s="1">
        <v>1</v>
      </c>
    </row>
    <row r="56" spans="1:6" x14ac:dyDescent="0.35">
      <c r="A56">
        <v>141</v>
      </c>
      <c r="B56" t="s">
        <v>115</v>
      </c>
      <c r="C56" t="s">
        <v>167</v>
      </c>
      <c r="D56" s="1">
        <v>1.786E-7</v>
      </c>
      <c r="E56" s="1">
        <v>1</v>
      </c>
      <c r="F56" s="1">
        <v>9.0999999999999993E-6</v>
      </c>
    </row>
    <row r="57" spans="1:6" x14ac:dyDescent="0.35">
      <c r="A57">
        <v>89</v>
      </c>
      <c r="B57" t="s">
        <v>115</v>
      </c>
      <c r="C57" t="s">
        <v>168</v>
      </c>
      <c r="D57" s="1">
        <v>1.2499999999999999E-7</v>
      </c>
      <c r="E57" s="1">
        <v>1</v>
      </c>
      <c r="F57" s="1">
        <v>0.11126999999999999</v>
      </c>
    </row>
    <row r="58" spans="1:6" x14ac:dyDescent="0.35">
      <c r="A58">
        <v>91</v>
      </c>
      <c r="B58" t="s">
        <v>115</v>
      </c>
      <c r="C58" t="s">
        <v>169</v>
      </c>
      <c r="D58" s="1">
        <v>1.786E-7</v>
      </c>
      <c r="E58" s="1">
        <v>1</v>
      </c>
      <c r="F58" s="1">
        <v>1.33E-5</v>
      </c>
    </row>
    <row r="59" spans="1:6" x14ac:dyDescent="0.35">
      <c r="A59">
        <v>94</v>
      </c>
      <c r="B59" t="s">
        <v>115</v>
      </c>
      <c r="C59" t="s">
        <v>170</v>
      </c>
      <c r="D59" s="1">
        <v>6.7000000000000002E-4</v>
      </c>
      <c r="E59" s="1">
        <v>1</v>
      </c>
      <c r="F59" s="1">
        <v>0.25</v>
      </c>
    </row>
    <row r="60" spans="1:6" x14ac:dyDescent="0.35">
      <c r="A60">
        <v>142</v>
      </c>
      <c r="B60" t="s">
        <v>115</v>
      </c>
      <c r="C60" t="s">
        <v>171</v>
      </c>
      <c r="D60" s="1">
        <v>2.0439999999999998E-3</v>
      </c>
      <c r="E60" s="1">
        <v>1</v>
      </c>
      <c r="F60" s="1">
        <v>0.4504976</v>
      </c>
    </row>
    <row r="61" spans="1:6" x14ac:dyDescent="0.35">
      <c r="A61">
        <v>143</v>
      </c>
      <c r="B61" t="s">
        <v>115</v>
      </c>
      <c r="C61" t="s">
        <v>172</v>
      </c>
      <c r="D61" s="1">
        <v>1.431E-3</v>
      </c>
      <c r="E61" s="1">
        <v>1</v>
      </c>
      <c r="F61" s="1">
        <v>2.1465000000000001</v>
      </c>
    </row>
    <row r="62" spans="1:6" x14ac:dyDescent="0.35">
      <c r="A62">
        <v>144</v>
      </c>
      <c r="B62" t="s">
        <v>115</v>
      </c>
      <c r="C62" t="s">
        <v>173</v>
      </c>
      <c r="D62" s="1">
        <v>1.7700000000000001E-3</v>
      </c>
      <c r="E62" s="1">
        <v>1</v>
      </c>
      <c r="F62" s="1">
        <v>1.8585</v>
      </c>
    </row>
    <row r="63" spans="1:6" x14ac:dyDescent="0.35">
      <c r="A63">
        <v>11</v>
      </c>
      <c r="B63" t="s">
        <v>115</v>
      </c>
      <c r="C63" t="s">
        <v>174</v>
      </c>
      <c r="D63" s="1">
        <v>1.5E-3</v>
      </c>
      <c r="E63" s="1">
        <v>1</v>
      </c>
      <c r="F63" s="1">
        <v>0.5</v>
      </c>
    </row>
    <row r="64" spans="1:6" x14ac:dyDescent="0.35">
      <c r="A64">
        <v>145</v>
      </c>
      <c r="B64" t="s">
        <v>115</v>
      </c>
      <c r="C64" t="s">
        <v>175</v>
      </c>
      <c r="D64" s="1">
        <v>1.0039999999999999E-3</v>
      </c>
      <c r="E64" s="1">
        <v>1</v>
      </c>
      <c r="F64" s="1">
        <v>2.008</v>
      </c>
    </row>
    <row r="65" spans="1:6" x14ac:dyDescent="0.35">
      <c r="A65">
        <v>27</v>
      </c>
      <c r="B65" t="s">
        <v>115</v>
      </c>
      <c r="C65" t="s">
        <v>19</v>
      </c>
      <c r="D65" s="1">
        <v>8.9900000000000004E-8</v>
      </c>
      <c r="E65" s="1">
        <v>1</v>
      </c>
      <c r="F65" s="1">
        <v>5.5835999999999999E-5</v>
      </c>
    </row>
    <row r="66" spans="1:6" x14ac:dyDescent="0.35">
      <c r="A66">
        <v>146</v>
      </c>
      <c r="B66" t="s">
        <v>115</v>
      </c>
      <c r="C66" t="s">
        <v>176</v>
      </c>
      <c r="D66" s="1">
        <v>8.5999999999999998E-4</v>
      </c>
      <c r="E66" s="1">
        <v>1</v>
      </c>
      <c r="F66" s="1">
        <v>0.68799999999999994</v>
      </c>
    </row>
    <row r="67" spans="1:6" x14ac:dyDescent="0.35">
      <c r="A67">
        <v>79</v>
      </c>
      <c r="B67" t="s">
        <v>115</v>
      </c>
      <c r="C67" t="s">
        <v>177</v>
      </c>
      <c r="D67" s="1">
        <v>5.0000000000000001E-3</v>
      </c>
      <c r="E67" s="1">
        <v>1</v>
      </c>
      <c r="F67" s="1">
        <v>0</v>
      </c>
    </row>
    <row r="68" spans="1:6" x14ac:dyDescent="0.35">
      <c r="A68">
        <v>13</v>
      </c>
      <c r="B68" t="s">
        <v>115</v>
      </c>
      <c r="C68" t="s">
        <v>178</v>
      </c>
      <c r="D68" s="1">
        <v>1E-3</v>
      </c>
      <c r="E68" s="1">
        <v>1</v>
      </c>
      <c r="F68" s="1">
        <v>8.0000000000000004E-4</v>
      </c>
    </row>
    <row r="69" spans="1:6" x14ac:dyDescent="0.35">
      <c r="A69">
        <v>147</v>
      </c>
      <c r="B69" t="s">
        <v>115</v>
      </c>
      <c r="C69" t="s">
        <v>179</v>
      </c>
      <c r="D69" s="1">
        <v>1.658E-3</v>
      </c>
      <c r="E69" s="1">
        <v>1</v>
      </c>
      <c r="F69" s="1">
        <v>0.34817999999999999</v>
      </c>
    </row>
    <row r="70" spans="1:6" x14ac:dyDescent="0.35">
      <c r="A70">
        <v>148</v>
      </c>
      <c r="B70" t="s">
        <v>115</v>
      </c>
      <c r="C70" t="s">
        <v>180</v>
      </c>
      <c r="D70" s="1">
        <v>1.9949999999999998E-3</v>
      </c>
      <c r="E70" s="1">
        <v>1</v>
      </c>
      <c r="F70" s="1">
        <v>0.39900000000000002</v>
      </c>
    </row>
    <row r="71" spans="1:6" x14ac:dyDescent="0.35">
      <c r="A71">
        <v>149</v>
      </c>
      <c r="B71" t="s">
        <v>115</v>
      </c>
      <c r="C71" t="s">
        <v>181</v>
      </c>
      <c r="D71" s="1">
        <v>1.513E-3</v>
      </c>
      <c r="E71" s="1">
        <v>1</v>
      </c>
      <c r="F71" s="1">
        <v>0.31773000000000001</v>
      </c>
    </row>
    <row r="72" spans="1:6" x14ac:dyDescent="0.35">
      <c r="A72">
        <v>28</v>
      </c>
      <c r="B72" t="s">
        <v>115</v>
      </c>
      <c r="C72" t="s">
        <v>182</v>
      </c>
      <c r="D72" s="1">
        <v>2.5000000000000001E-3</v>
      </c>
      <c r="E72" s="1">
        <v>1</v>
      </c>
      <c r="F72" s="1">
        <v>0.32</v>
      </c>
    </row>
    <row r="73" spans="1:6" x14ac:dyDescent="0.35">
      <c r="A73">
        <v>29</v>
      </c>
      <c r="B73" t="s">
        <v>115</v>
      </c>
      <c r="C73" t="s">
        <v>183</v>
      </c>
      <c r="D73" s="1">
        <v>5.7999999999999996E-3</v>
      </c>
      <c r="E73" s="1">
        <v>1</v>
      </c>
      <c r="F73" s="1">
        <v>4000</v>
      </c>
    </row>
    <row r="74" spans="1:6" x14ac:dyDescent="0.35">
      <c r="A74">
        <v>150</v>
      </c>
      <c r="B74" t="s">
        <v>115</v>
      </c>
      <c r="C74" t="s">
        <v>184</v>
      </c>
      <c r="D74" s="1">
        <v>8.1999999999999998E-4</v>
      </c>
      <c r="E74" s="1">
        <v>1</v>
      </c>
      <c r="F74" s="1">
        <v>4.1000000000000002E-2</v>
      </c>
    </row>
    <row r="75" spans="1:6" x14ac:dyDescent="0.35">
      <c r="A75">
        <v>80</v>
      </c>
      <c r="B75" t="s">
        <v>115</v>
      </c>
      <c r="C75" t="s">
        <v>185</v>
      </c>
      <c r="D75" s="1">
        <v>3.749E-6</v>
      </c>
      <c r="E75" s="1">
        <v>1</v>
      </c>
      <c r="F75" s="1">
        <v>6.7999999999999996E-3</v>
      </c>
    </row>
    <row r="76" spans="1:6" x14ac:dyDescent="0.35">
      <c r="A76">
        <v>15</v>
      </c>
      <c r="B76" t="s">
        <v>115</v>
      </c>
      <c r="C76" t="s">
        <v>186</v>
      </c>
      <c r="D76" s="1">
        <v>1.1339999999999999E-2</v>
      </c>
      <c r="E76" s="1">
        <v>1</v>
      </c>
      <c r="F76" s="1">
        <v>6.7391999999999994E-2</v>
      </c>
    </row>
    <row r="77" spans="1:6" x14ac:dyDescent="0.35">
      <c r="A77">
        <v>151</v>
      </c>
      <c r="B77" t="s">
        <v>115</v>
      </c>
      <c r="C77" t="s">
        <v>187</v>
      </c>
      <c r="D77" s="1">
        <v>1.1339999999999999E-2</v>
      </c>
      <c r="E77" s="1">
        <v>1</v>
      </c>
      <c r="F77" s="1">
        <v>6.7391999999999994E-2</v>
      </c>
    </row>
    <row r="78" spans="1:6" x14ac:dyDescent="0.35">
      <c r="A78">
        <v>84</v>
      </c>
      <c r="B78" t="s">
        <v>115</v>
      </c>
      <c r="C78" t="s">
        <v>188</v>
      </c>
      <c r="D78" s="1">
        <v>5.3399999999999997E-4</v>
      </c>
      <c r="E78" s="1">
        <v>1</v>
      </c>
      <c r="F78" s="1">
        <v>0.60750000000000004</v>
      </c>
    </row>
    <row r="79" spans="1:6" x14ac:dyDescent="0.35">
      <c r="A79">
        <v>85</v>
      </c>
      <c r="B79" t="s">
        <v>115</v>
      </c>
      <c r="C79" t="s">
        <v>189</v>
      </c>
      <c r="D79" s="1">
        <v>4.5800000000000002E-4</v>
      </c>
      <c r="E79" s="1">
        <v>1</v>
      </c>
      <c r="F79" s="1">
        <v>4</v>
      </c>
    </row>
    <row r="80" spans="1:6" x14ac:dyDescent="0.35">
      <c r="A80">
        <v>87</v>
      </c>
      <c r="B80" t="s">
        <v>115</v>
      </c>
      <c r="C80" t="s">
        <v>190</v>
      </c>
      <c r="D80" s="1">
        <v>8.1999999999999998E-4</v>
      </c>
      <c r="E80" s="1">
        <v>1</v>
      </c>
      <c r="F80" s="1">
        <v>5</v>
      </c>
    </row>
    <row r="81" spans="1:6" x14ac:dyDescent="0.35">
      <c r="A81">
        <v>86</v>
      </c>
      <c r="B81" t="s">
        <v>115</v>
      </c>
      <c r="C81" t="s">
        <v>191</v>
      </c>
      <c r="D81" s="1">
        <v>7.7999999999999999E-4</v>
      </c>
      <c r="E81" s="1">
        <v>1</v>
      </c>
      <c r="F81" s="1">
        <v>0.4</v>
      </c>
    </row>
    <row r="82" spans="1:6" x14ac:dyDescent="0.35">
      <c r="A82">
        <v>88</v>
      </c>
      <c r="B82" t="s">
        <v>115</v>
      </c>
      <c r="C82" t="s">
        <v>192</v>
      </c>
      <c r="D82" s="1">
        <v>7.0209999999999999E-4</v>
      </c>
      <c r="E82" s="1">
        <v>1</v>
      </c>
      <c r="F82" s="1">
        <v>0.14199999999999999</v>
      </c>
    </row>
    <row r="83" spans="1:6" x14ac:dyDescent="0.35">
      <c r="A83">
        <v>62</v>
      </c>
      <c r="B83" t="s">
        <v>115</v>
      </c>
      <c r="C83" t="s">
        <v>193</v>
      </c>
      <c r="D83" s="1">
        <v>1.3954E-3</v>
      </c>
      <c r="E83" s="1">
        <v>1</v>
      </c>
      <c r="F83" s="1">
        <v>1.4</v>
      </c>
    </row>
    <row r="84" spans="1:6" x14ac:dyDescent="0.35">
      <c r="A84">
        <v>31</v>
      </c>
      <c r="B84" t="s">
        <v>115</v>
      </c>
      <c r="C84" t="s">
        <v>194</v>
      </c>
      <c r="D84" s="1">
        <v>7.9000000000000001E-4</v>
      </c>
      <c r="E84" s="1">
        <v>1</v>
      </c>
      <c r="F84" s="1">
        <v>2.0999999999999999E-3</v>
      </c>
    </row>
    <row r="85" spans="1:6" x14ac:dyDescent="0.35">
      <c r="A85">
        <v>30</v>
      </c>
      <c r="B85" t="s">
        <v>115</v>
      </c>
      <c r="C85" t="s">
        <v>195</v>
      </c>
      <c r="D85" s="1">
        <v>1.17325E-3</v>
      </c>
      <c r="E85" s="1">
        <v>1</v>
      </c>
      <c r="F85" s="1">
        <v>1.7247E-3</v>
      </c>
    </row>
    <row r="86" spans="1:6" x14ac:dyDescent="0.35">
      <c r="A86">
        <v>73</v>
      </c>
      <c r="B86" t="s">
        <v>115</v>
      </c>
      <c r="C86" t="s">
        <v>196</v>
      </c>
      <c r="D86" s="1">
        <v>1.6239999999999999E-4</v>
      </c>
      <c r="E86" s="1">
        <v>1</v>
      </c>
      <c r="F86" s="1">
        <v>0.25600000000000001</v>
      </c>
    </row>
    <row r="87" spans="1:6" x14ac:dyDescent="0.35">
      <c r="A87">
        <v>152</v>
      </c>
      <c r="B87" t="s">
        <v>115</v>
      </c>
      <c r="C87" t="s">
        <v>197</v>
      </c>
      <c r="D87" s="1">
        <v>1.505E-3</v>
      </c>
      <c r="E87" s="1">
        <v>1</v>
      </c>
      <c r="F87" s="1">
        <v>9.0299999999999994</v>
      </c>
    </row>
    <row r="88" spans="1:6" x14ac:dyDescent="0.35">
      <c r="A88">
        <v>90</v>
      </c>
      <c r="B88" t="s">
        <v>115</v>
      </c>
      <c r="C88" t="s">
        <v>198</v>
      </c>
      <c r="D88" s="1">
        <v>5.8999999999999998E-5</v>
      </c>
      <c r="E88" s="1">
        <v>1</v>
      </c>
      <c r="F88" s="1">
        <v>52.52</v>
      </c>
    </row>
    <row r="89" spans="1:6" x14ac:dyDescent="0.35">
      <c r="A89">
        <v>92</v>
      </c>
      <c r="B89" t="s">
        <v>115</v>
      </c>
      <c r="C89" t="s">
        <v>199</v>
      </c>
      <c r="D89" s="1">
        <v>1.786E-4</v>
      </c>
      <c r="E89" s="1">
        <v>1</v>
      </c>
      <c r="F89" s="1">
        <v>1.3299999999999999E-2</v>
      </c>
    </row>
    <row r="90" spans="1:6" x14ac:dyDescent="0.35">
      <c r="A90">
        <v>54</v>
      </c>
      <c r="B90" t="s">
        <v>115</v>
      </c>
      <c r="C90" t="s">
        <v>200</v>
      </c>
      <c r="D90" s="1">
        <v>7.0850000000000001E-5</v>
      </c>
      <c r="E90" s="1">
        <v>1</v>
      </c>
      <c r="F90" s="1">
        <v>3.6749999999999998E-2</v>
      </c>
    </row>
    <row r="91" spans="1:6" x14ac:dyDescent="0.35">
      <c r="A91">
        <v>81</v>
      </c>
      <c r="B91" t="s">
        <v>115</v>
      </c>
      <c r="C91" t="s">
        <v>201</v>
      </c>
      <c r="D91" s="1">
        <v>2.4130000000000002E-3</v>
      </c>
      <c r="E91" s="1">
        <v>1</v>
      </c>
      <c r="F91" s="1">
        <v>1.0298</v>
      </c>
    </row>
    <row r="92" spans="1:6" x14ac:dyDescent="0.35">
      <c r="A92">
        <v>153</v>
      </c>
      <c r="B92" t="s">
        <v>115</v>
      </c>
      <c r="C92" t="s">
        <v>202</v>
      </c>
      <c r="D92" s="1">
        <v>4.2560999999999999E-4</v>
      </c>
      <c r="E92" s="1">
        <v>1</v>
      </c>
      <c r="F92" s="1">
        <v>0.45</v>
      </c>
    </row>
    <row r="93" spans="1:6" x14ac:dyDescent="0.35">
      <c r="A93">
        <v>83</v>
      </c>
      <c r="B93" t="s">
        <v>115</v>
      </c>
      <c r="C93" t="s">
        <v>203</v>
      </c>
      <c r="D93" s="1">
        <v>1.207E-3</v>
      </c>
      <c r="E93" s="1">
        <v>1</v>
      </c>
      <c r="F93" s="1">
        <v>2.1453000000000002</v>
      </c>
    </row>
    <row r="94" spans="1:6" x14ac:dyDescent="0.35">
      <c r="A94">
        <v>95</v>
      </c>
      <c r="B94" t="s">
        <v>115</v>
      </c>
      <c r="C94" t="s">
        <v>204</v>
      </c>
      <c r="D94" s="1">
        <v>8.2490700000000005E-4</v>
      </c>
      <c r="E94" s="1">
        <v>1</v>
      </c>
      <c r="F94" s="1">
        <v>8.2399999999999997E-4</v>
      </c>
    </row>
    <row r="95" spans="1:6" x14ac:dyDescent="0.35">
      <c r="A95">
        <v>96</v>
      </c>
      <c r="B95" t="s">
        <v>115</v>
      </c>
      <c r="C95" t="s">
        <v>205</v>
      </c>
      <c r="D95" s="1">
        <v>8.8380000000000002E-4</v>
      </c>
      <c r="E95" s="1">
        <v>1</v>
      </c>
      <c r="F95" s="1">
        <v>8.2400000000000001E-2</v>
      </c>
    </row>
    <row r="96" spans="1:6" x14ac:dyDescent="0.35">
      <c r="A96">
        <v>154</v>
      </c>
      <c r="B96" t="s">
        <v>115</v>
      </c>
      <c r="C96" t="s">
        <v>206</v>
      </c>
      <c r="D96" s="1">
        <v>1.1410000000000001E-3</v>
      </c>
      <c r="E96" s="1">
        <v>1</v>
      </c>
      <c r="F96" s="1">
        <v>4.564E-2</v>
      </c>
    </row>
    <row r="97" spans="1:6" x14ac:dyDescent="0.35">
      <c r="A97">
        <v>100</v>
      </c>
      <c r="B97" t="s">
        <v>115</v>
      </c>
      <c r="C97" t="s">
        <v>207</v>
      </c>
      <c r="D97" s="1">
        <v>1.284E-3</v>
      </c>
      <c r="E97" s="1">
        <v>1</v>
      </c>
      <c r="F97" s="1">
        <v>0.6</v>
      </c>
    </row>
    <row r="98" spans="1:6" x14ac:dyDescent="0.35">
      <c r="A98">
        <v>118</v>
      </c>
      <c r="B98" t="s">
        <v>115</v>
      </c>
      <c r="C98" t="s">
        <v>208</v>
      </c>
      <c r="D98" s="1">
        <v>3.2000000000000003E-4</v>
      </c>
      <c r="E98" s="1">
        <v>1</v>
      </c>
      <c r="F98" s="1">
        <v>18.8</v>
      </c>
    </row>
    <row r="99" spans="1:6" x14ac:dyDescent="0.35">
      <c r="A99">
        <v>122</v>
      </c>
      <c r="B99" t="s">
        <v>115</v>
      </c>
      <c r="C99" t="s">
        <v>209</v>
      </c>
      <c r="D99" s="1">
        <v>2.9529999999999999E-3</v>
      </c>
      <c r="E99" s="1">
        <v>1</v>
      </c>
      <c r="F99" s="1">
        <v>118.12</v>
      </c>
    </row>
    <row r="100" spans="1:6" x14ac:dyDescent="0.35">
      <c r="A100">
        <v>24</v>
      </c>
      <c r="B100" t="s">
        <v>115</v>
      </c>
      <c r="C100" t="s">
        <v>210</v>
      </c>
      <c r="D100" s="1">
        <v>3.7799999999999999E-3</v>
      </c>
      <c r="E100" s="1">
        <v>1</v>
      </c>
      <c r="F100" s="1">
        <v>15.8</v>
      </c>
    </row>
    <row r="101" spans="1:6" x14ac:dyDescent="0.35">
      <c r="A101">
        <v>97</v>
      </c>
      <c r="B101" t="s">
        <v>115</v>
      </c>
      <c r="C101" t="s">
        <v>211</v>
      </c>
      <c r="D101" s="1">
        <v>1.738E-3</v>
      </c>
      <c r="E101" s="1">
        <v>1</v>
      </c>
      <c r="F101" s="1">
        <v>1.4999999999999999E-4</v>
      </c>
    </row>
    <row r="102" spans="1:6" x14ac:dyDescent="0.35">
      <c r="A102">
        <v>32</v>
      </c>
      <c r="B102" t="s">
        <v>115</v>
      </c>
      <c r="C102" t="s">
        <v>212</v>
      </c>
      <c r="D102" s="1">
        <v>1E-3</v>
      </c>
      <c r="E102" s="1">
        <v>1</v>
      </c>
      <c r="F102" s="1">
        <v>2</v>
      </c>
    </row>
    <row r="103" spans="1:6" x14ac:dyDescent="0.35">
      <c r="A103">
        <v>98</v>
      </c>
      <c r="B103" t="s">
        <v>115</v>
      </c>
      <c r="C103" t="s">
        <v>213</v>
      </c>
      <c r="D103" s="1">
        <v>0</v>
      </c>
      <c r="E103" s="1">
        <v>1</v>
      </c>
      <c r="F103" s="1">
        <v>0</v>
      </c>
    </row>
    <row r="104" spans="1:6" x14ac:dyDescent="0.35">
      <c r="A104">
        <v>35</v>
      </c>
      <c r="B104" t="s">
        <v>115</v>
      </c>
      <c r="C104" t="s">
        <v>214</v>
      </c>
      <c r="D104" s="1">
        <v>5.4999999999999997E-3</v>
      </c>
      <c r="E104" s="1">
        <v>1</v>
      </c>
      <c r="F104" s="1">
        <v>1.76</v>
      </c>
    </row>
    <row r="105" spans="1:6" x14ac:dyDescent="0.35">
      <c r="A105">
        <v>33</v>
      </c>
      <c r="B105" t="s">
        <v>115</v>
      </c>
      <c r="C105" t="s">
        <v>215</v>
      </c>
      <c r="D105" s="1">
        <v>7.7999999999999996E-3</v>
      </c>
      <c r="E105" s="1">
        <v>1</v>
      </c>
      <c r="F105" s="1">
        <v>14.24</v>
      </c>
    </row>
    <row r="106" spans="1:6" x14ac:dyDescent="0.35">
      <c r="A106">
        <v>155</v>
      </c>
      <c r="B106" t="s">
        <v>115</v>
      </c>
      <c r="C106" t="s">
        <v>21</v>
      </c>
      <c r="D106" s="1">
        <v>7.1699999999999997E-7</v>
      </c>
      <c r="E106" s="1">
        <v>1</v>
      </c>
      <c r="F106" s="1">
        <v>1.8642000000000001E-3</v>
      </c>
    </row>
    <row r="107" spans="1:6" x14ac:dyDescent="0.35">
      <c r="A107">
        <v>156</v>
      </c>
      <c r="B107" t="s">
        <v>115</v>
      </c>
      <c r="C107" t="s">
        <v>216</v>
      </c>
      <c r="D107" s="1">
        <v>7.9179999999999995E-4</v>
      </c>
      <c r="E107" s="1">
        <v>1</v>
      </c>
      <c r="F107" s="1">
        <v>0.126688</v>
      </c>
    </row>
    <row r="108" spans="1:6" x14ac:dyDescent="0.35">
      <c r="A108">
        <v>34</v>
      </c>
      <c r="B108" t="s">
        <v>115</v>
      </c>
      <c r="C108" t="s">
        <v>217</v>
      </c>
      <c r="D108" s="1">
        <v>2.7000000000000001E-3</v>
      </c>
      <c r="E108" s="1">
        <v>1</v>
      </c>
      <c r="F108" s="1">
        <v>0.8</v>
      </c>
    </row>
    <row r="109" spans="1:6" x14ac:dyDescent="0.35">
      <c r="A109">
        <v>157</v>
      </c>
      <c r="B109" t="s">
        <v>115</v>
      </c>
      <c r="C109" t="s">
        <v>218</v>
      </c>
      <c r="D109" s="1">
        <v>8.8000000000000003E-4</v>
      </c>
      <c r="E109" s="1">
        <v>1</v>
      </c>
      <c r="F109" s="1">
        <v>1.748</v>
      </c>
    </row>
    <row r="110" spans="1:6" x14ac:dyDescent="0.35">
      <c r="A110">
        <v>158</v>
      </c>
      <c r="B110" t="s">
        <v>115</v>
      </c>
      <c r="C110" t="s">
        <v>219</v>
      </c>
      <c r="D110" s="1">
        <v>1.4289999999999999E-3</v>
      </c>
      <c r="E110" s="1">
        <v>1</v>
      </c>
      <c r="F110" s="1">
        <v>0.21435000000000001</v>
      </c>
    </row>
    <row r="111" spans="1:6" x14ac:dyDescent="0.35">
      <c r="A111">
        <v>160</v>
      </c>
      <c r="B111" t="s">
        <v>115</v>
      </c>
      <c r="C111" t="s">
        <v>220</v>
      </c>
      <c r="D111" s="1">
        <v>1.407E-3</v>
      </c>
      <c r="E111" s="1">
        <v>1</v>
      </c>
      <c r="F111" s="1">
        <v>0.23919000000000001</v>
      </c>
    </row>
    <row r="112" spans="1:6" x14ac:dyDescent="0.35">
      <c r="A112">
        <v>161</v>
      </c>
      <c r="B112" t="s">
        <v>115</v>
      </c>
      <c r="C112" t="s">
        <v>221</v>
      </c>
      <c r="D112" s="1">
        <v>1.397E-3</v>
      </c>
      <c r="E112" s="1">
        <v>1</v>
      </c>
      <c r="F112" s="1">
        <v>0.23749000000000001</v>
      </c>
    </row>
    <row r="113" spans="1:6" x14ac:dyDescent="0.35">
      <c r="A113">
        <v>162</v>
      </c>
      <c r="B113" t="s">
        <v>115</v>
      </c>
      <c r="C113" t="s">
        <v>222</v>
      </c>
      <c r="D113" s="1">
        <v>1.3799999999999999E-3</v>
      </c>
      <c r="E113" s="1">
        <v>1</v>
      </c>
      <c r="F113" s="1">
        <v>0.24840000000000001</v>
      </c>
    </row>
    <row r="114" spans="1:6" x14ac:dyDescent="0.35">
      <c r="A114">
        <v>163</v>
      </c>
      <c r="B114" t="s">
        <v>115</v>
      </c>
      <c r="C114" t="s">
        <v>223</v>
      </c>
      <c r="D114" s="1">
        <v>1.3799999999999999E-3</v>
      </c>
      <c r="E114" s="1">
        <v>1</v>
      </c>
      <c r="F114" s="1">
        <v>0.24840000000000001</v>
      </c>
    </row>
    <row r="115" spans="1:6" x14ac:dyDescent="0.35">
      <c r="A115">
        <v>159</v>
      </c>
      <c r="B115" t="s">
        <v>115</v>
      </c>
      <c r="C115" t="s">
        <v>224</v>
      </c>
      <c r="D115" s="1">
        <v>1.423E-3</v>
      </c>
      <c r="E115" s="1">
        <v>1</v>
      </c>
      <c r="F115" s="1">
        <v>0.21345</v>
      </c>
    </row>
    <row r="116" spans="1:6" x14ac:dyDescent="0.35">
      <c r="A116">
        <v>99</v>
      </c>
      <c r="B116" t="s">
        <v>115</v>
      </c>
      <c r="C116" t="s">
        <v>225</v>
      </c>
      <c r="D116" s="1">
        <v>5.0000000000000001E-3</v>
      </c>
      <c r="E116" s="1">
        <v>1</v>
      </c>
      <c r="F116" s="1">
        <v>0.1</v>
      </c>
    </row>
    <row r="117" spans="1:6" x14ac:dyDescent="0.35">
      <c r="A117">
        <v>23</v>
      </c>
      <c r="B117" t="s">
        <v>115</v>
      </c>
      <c r="C117" t="s">
        <v>226</v>
      </c>
      <c r="D117" s="1">
        <v>1E-3</v>
      </c>
      <c r="E117" s="1">
        <v>1</v>
      </c>
      <c r="F117" s="1">
        <v>0</v>
      </c>
    </row>
    <row r="118" spans="1:6" x14ac:dyDescent="0.35">
      <c r="A118">
        <v>165</v>
      </c>
      <c r="B118" t="s">
        <v>115</v>
      </c>
      <c r="C118" t="s">
        <v>227</v>
      </c>
      <c r="D118" s="1">
        <v>1.604E-3</v>
      </c>
      <c r="E118" s="1">
        <v>1</v>
      </c>
      <c r="F118" s="1">
        <v>24.06</v>
      </c>
    </row>
    <row r="119" spans="1:6" x14ac:dyDescent="0.35">
      <c r="A119">
        <v>82</v>
      </c>
      <c r="B119" t="s">
        <v>115</v>
      </c>
      <c r="C119" t="s">
        <v>228</v>
      </c>
      <c r="D119" s="1">
        <v>9.0019999999999997E-7</v>
      </c>
      <c r="E119" s="1">
        <v>1</v>
      </c>
      <c r="F119" s="1">
        <v>1.6000000000000001E-3</v>
      </c>
    </row>
    <row r="120" spans="1:6" x14ac:dyDescent="0.35">
      <c r="A120">
        <v>164</v>
      </c>
      <c r="B120" t="s">
        <v>115</v>
      </c>
      <c r="C120" t="s">
        <v>229</v>
      </c>
      <c r="D120" s="1">
        <v>1.6000000000000001E-3</v>
      </c>
      <c r="E120" s="1">
        <v>1</v>
      </c>
      <c r="F120" s="1">
        <v>0.01</v>
      </c>
    </row>
    <row r="121" spans="1:6" x14ac:dyDescent="0.35">
      <c r="A121">
        <v>93</v>
      </c>
      <c r="B121" t="s">
        <v>115</v>
      </c>
      <c r="C121" t="s">
        <v>230</v>
      </c>
      <c r="D121" s="1">
        <v>2.3999999999999998E-3</v>
      </c>
      <c r="E121" s="1">
        <v>1</v>
      </c>
      <c r="F121" s="1">
        <v>1E-3</v>
      </c>
    </row>
    <row r="122" spans="1:6" x14ac:dyDescent="0.35">
      <c r="A122">
        <v>166</v>
      </c>
      <c r="B122" t="s">
        <v>115</v>
      </c>
      <c r="C122" t="s">
        <v>231</v>
      </c>
      <c r="D122" s="1">
        <v>1.251E-6</v>
      </c>
      <c r="E122" s="1">
        <v>1</v>
      </c>
      <c r="F122" s="1">
        <v>5.0000000000000002E-5</v>
      </c>
    </row>
    <row r="123" spans="1:6" x14ac:dyDescent="0.35">
      <c r="A123">
        <v>167</v>
      </c>
      <c r="B123" t="s">
        <v>115</v>
      </c>
      <c r="C123" t="s">
        <v>232</v>
      </c>
      <c r="D123" s="1">
        <v>1.9599999999999999E-6</v>
      </c>
      <c r="E123" s="1">
        <v>1</v>
      </c>
      <c r="F123" s="1">
        <v>3.9199999999999999E-4</v>
      </c>
    </row>
    <row r="124" spans="1:6" x14ac:dyDescent="0.35">
      <c r="A124">
        <v>168</v>
      </c>
      <c r="B124" t="s">
        <v>115</v>
      </c>
      <c r="C124" t="s">
        <v>233</v>
      </c>
      <c r="D124" s="1">
        <v>1.4499999999999999E-3</v>
      </c>
      <c r="E124" s="1">
        <v>1</v>
      </c>
      <c r="F124" s="1">
        <v>0.2175</v>
      </c>
    </row>
    <row r="125" spans="1:6" x14ac:dyDescent="0.35">
      <c r="A125">
        <v>169</v>
      </c>
      <c r="B125" t="s">
        <v>115</v>
      </c>
      <c r="C125" t="s">
        <v>234</v>
      </c>
      <c r="D125" s="1">
        <v>1.9E-3</v>
      </c>
      <c r="E125" s="1">
        <v>1</v>
      </c>
      <c r="F125" s="1">
        <v>28.5</v>
      </c>
    </row>
    <row r="126" spans="1:6" x14ac:dyDescent="0.35">
      <c r="A126">
        <v>36</v>
      </c>
      <c r="B126" t="s">
        <v>115</v>
      </c>
      <c r="C126" t="s">
        <v>235</v>
      </c>
      <c r="D126" s="1">
        <v>1E-3</v>
      </c>
      <c r="E126" s="1">
        <v>1</v>
      </c>
      <c r="F126" s="1">
        <v>0.5</v>
      </c>
    </row>
    <row r="127" spans="1:6" x14ac:dyDescent="0.35">
      <c r="A127">
        <v>37</v>
      </c>
      <c r="B127" t="s">
        <v>115</v>
      </c>
      <c r="C127" t="s">
        <v>23</v>
      </c>
      <c r="D127" s="1">
        <v>1.4100000000000001E-6</v>
      </c>
      <c r="E127" s="1">
        <v>1</v>
      </c>
      <c r="F127" s="1">
        <v>5.5835999999999999E-5</v>
      </c>
    </row>
    <row r="128" spans="1:6" x14ac:dyDescent="0.35">
      <c r="A128">
        <v>170</v>
      </c>
      <c r="B128" t="s">
        <v>115</v>
      </c>
      <c r="C128" t="s">
        <v>236</v>
      </c>
      <c r="D128" s="1">
        <v>1.7719999999999999E-3</v>
      </c>
      <c r="E128" s="1">
        <v>1</v>
      </c>
      <c r="F128" s="1">
        <v>1.593</v>
      </c>
    </row>
    <row r="129" spans="1:6" x14ac:dyDescent="0.35">
      <c r="A129">
        <v>171</v>
      </c>
      <c r="B129" t="s">
        <v>115</v>
      </c>
      <c r="C129" t="s">
        <v>237</v>
      </c>
      <c r="D129" s="1">
        <v>6.1799999999999995E-4</v>
      </c>
      <c r="E129" s="1">
        <v>1</v>
      </c>
      <c r="F129" s="1">
        <v>6.18</v>
      </c>
    </row>
    <row r="130" spans="1:6" x14ac:dyDescent="0.35">
      <c r="A130">
        <v>105</v>
      </c>
      <c r="B130" t="s">
        <v>115</v>
      </c>
      <c r="C130" t="s">
        <v>238</v>
      </c>
      <c r="D130" s="1">
        <v>1.9816E-2</v>
      </c>
      <c r="E130" s="1">
        <v>1</v>
      </c>
      <c r="F130" s="1">
        <v>4000</v>
      </c>
    </row>
    <row r="131" spans="1:6" x14ac:dyDescent="0.35">
      <c r="A131">
        <v>38</v>
      </c>
      <c r="B131" t="s">
        <v>115</v>
      </c>
      <c r="C131" t="s">
        <v>239</v>
      </c>
      <c r="D131" s="1">
        <v>1.0399999999999999E-3</v>
      </c>
      <c r="E131" s="1">
        <v>1</v>
      </c>
      <c r="F131" s="1">
        <v>8</v>
      </c>
    </row>
    <row r="132" spans="1:6" x14ac:dyDescent="0.35">
      <c r="A132">
        <v>104</v>
      </c>
      <c r="B132" t="s">
        <v>115</v>
      </c>
      <c r="C132" t="s">
        <v>240</v>
      </c>
      <c r="D132" s="1">
        <v>1.49E-3</v>
      </c>
      <c r="E132" s="1">
        <v>1</v>
      </c>
      <c r="F132" s="1">
        <v>1</v>
      </c>
    </row>
    <row r="133" spans="1:6" x14ac:dyDescent="0.35">
      <c r="A133">
        <v>106</v>
      </c>
      <c r="B133" t="s">
        <v>115</v>
      </c>
      <c r="C133" t="s">
        <v>241</v>
      </c>
      <c r="D133" s="1">
        <v>8.6200000000000003E-4</v>
      </c>
      <c r="E133" s="1">
        <v>1</v>
      </c>
      <c r="F133" s="1">
        <v>1.4999999999999999E-4</v>
      </c>
    </row>
    <row r="134" spans="1:6" x14ac:dyDescent="0.35">
      <c r="A134">
        <v>172</v>
      </c>
      <c r="B134" t="s">
        <v>115</v>
      </c>
      <c r="C134" t="s">
        <v>242</v>
      </c>
      <c r="D134" s="1">
        <v>1.74E-3</v>
      </c>
      <c r="E134" s="1">
        <v>1</v>
      </c>
      <c r="F134" s="1">
        <v>0.01</v>
      </c>
    </row>
    <row r="135" spans="1:6" x14ac:dyDescent="0.35">
      <c r="A135">
        <v>39</v>
      </c>
      <c r="B135" t="s">
        <v>115</v>
      </c>
      <c r="C135" t="s">
        <v>243</v>
      </c>
      <c r="D135" s="1">
        <v>7.7999999999999996E-3</v>
      </c>
      <c r="E135" s="1">
        <v>1</v>
      </c>
      <c r="F135" s="1">
        <v>140</v>
      </c>
    </row>
    <row r="136" spans="1:6" x14ac:dyDescent="0.35">
      <c r="A136">
        <v>26</v>
      </c>
      <c r="B136" t="s">
        <v>115</v>
      </c>
      <c r="C136" t="s">
        <v>244</v>
      </c>
      <c r="D136" s="1">
        <v>3.7799999999999999E-3</v>
      </c>
      <c r="E136" s="1">
        <v>1</v>
      </c>
      <c r="F136" s="1">
        <v>7</v>
      </c>
    </row>
    <row r="137" spans="1:6" x14ac:dyDescent="0.35">
      <c r="A137">
        <v>40</v>
      </c>
      <c r="B137" t="s">
        <v>115</v>
      </c>
      <c r="C137" t="s">
        <v>245</v>
      </c>
      <c r="D137" s="1">
        <v>5.1999999999999998E-3</v>
      </c>
      <c r="E137" s="1">
        <v>1</v>
      </c>
      <c r="F137" s="1">
        <v>250</v>
      </c>
    </row>
    <row r="138" spans="1:6" x14ac:dyDescent="0.35">
      <c r="A138">
        <v>107</v>
      </c>
      <c r="B138" t="s">
        <v>115</v>
      </c>
      <c r="C138" t="s">
        <v>246</v>
      </c>
      <c r="D138" s="1">
        <v>2E-3</v>
      </c>
      <c r="E138" s="1">
        <v>1</v>
      </c>
      <c r="F138" s="1">
        <v>0</v>
      </c>
    </row>
    <row r="139" spans="1:6" x14ac:dyDescent="0.35">
      <c r="A139">
        <v>51</v>
      </c>
      <c r="B139" t="s">
        <v>115</v>
      </c>
      <c r="C139" t="s">
        <v>247</v>
      </c>
      <c r="D139" s="1">
        <v>5.0000000000000001E-3</v>
      </c>
      <c r="E139" s="1">
        <v>1</v>
      </c>
      <c r="F139" s="1">
        <v>0</v>
      </c>
    </row>
    <row r="140" spans="1:6" x14ac:dyDescent="0.35">
      <c r="A140">
        <v>41</v>
      </c>
      <c r="B140" t="s">
        <v>115</v>
      </c>
      <c r="C140" t="s">
        <v>248</v>
      </c>
      <c r="D140" s="1">
        <v>2.5000000000000001E-3</v>
      </c>
      <c r="E140" s="1">
        <v>1</v>
      </c>
      <c r="F140" s="1">
        <v>1.0000000000000001E-5</v>
      </c>
    </row>
    <row r="141" spans="1:6" x14ac:dyDescent="0.35">
      <c r="A141">
        <v>42</v>
      </c>
      <c r="B141" t="s">
        <v>115</v>
      </c>
      <c r="C141" t="s">
        <v>249</v>
      </c>
      <c r="D141" s="1">
        <v>2.5000000000000001E-3</v>
      </c>
      <c r="E141" s="1">
        <v>5</v>
      </c>
      <c r="F141" s="1">
        <v>1.5</v>
      </c>
    </row>
    <row r="142" spans="1:6" x14ac:dyDescent="0.35">
      <c r="A142">
        <v>101</v>
      </c>
      <c r="B142" t="s">
        <v>115</v>
      </c>
      <c r="C142" t="s">
        <v>250</v>
      </c>
      <c r="D142" s="1">
        <v>2E-3</v>
      </c>
      <c r="E142" s="1">
        <v>1</v>
      </c>
      <c r="F142" s="1">
        <v>2E-3</v>
      </c>
    </row>
    <row r="143" spans="1:6" x14ac:dyDescent="0.35">
      <c r="A143">
        <v>109</v>
      </c>
      <c r="B143" t="s">
        <v>115</v>
      </c>
      <c r="C143" t="s">
        <v>251</v>
      </c>
      <c r="D143" s="1">
        <v>2.5000000000000001E-3</v>
      </c>
      <c r="E143" s="1">
        <v>1</v>
      </c>
      <c r="F143" s="1">
        <v>0.01</v>
      </c>
    </row>
    <row r="144" spans="1:6" x14ac:dyDescent="0.35">
      <c r="A144">
        <v>110</v>
      </c>
      <c r="B144" t="s">
        <v>115</v>
      </c>
      <c r="C144" t="s">
        <v>252</v>
      </c>
      <c r="D144" s="1">
        <v>2.3289999999999999E-3</v>
      </c>
      <c r="E144" s="1">
        <v>1</v>
      </c>
      <c r="F144" s="1">
        <v>0.02</v>
      </c>
    </row>
    <row r="145" spans="1:6" x14ac:dyDescent="0.35">
      <c r="A145">
        <v>102</v>
      </c>
      <c r="B145" t="s">
        <v>115</v>
      </c>
      <c r="C145" t="s">
        <v>253</v>
      </c>
      <c r="D145" s="1">
        <v>9.68E-4</v>
      </c>
      <c r="E145" s="1">
        <v>1</v>
      </c>
      <c r="F145" s="1">
        <v>1.4</v>
      </c>
    </row>
    <row r="146" spans="1:6" x14ac:dyDescent="0.35">
      <c r="A146">
        <v>111</v>
      </c>
      <c r="B146" t="s">
        <v>115</v>
      </c>
      <c r="C146" t="s">
        <v>254</v>
      </c>
      <c r="D146" s="1">
        <v>1.24725E-6</v>
      </c>
      <c r="E146" s="1">
        <v>1</v>
      </c>
      <c r="F146" s="1">
        <v>1E-3</v>
      </c>
    </row>
    <row r="147" spans="1:6" x14ac:dyDescent="0.35">
      <c r="A147">
        <v>103</v>
      </c>
      <c r="B147" t="s">
        <v>115</v>
      </c>
      <c r="C147" t="s">
        <v>255</v>
      </c>
      <c r="D147" s="1">
        <v>8.6000000000000003E-5</v>
      </c>
      <c r="E147" s="1">
        <v>1</v>
      </c>
      <c r="F147" s="1">
        <v>4.4600000000000001E-2</v>
      </c>
    </row>
    <row r="148" spans="1:6" x14ac:dyDescent="0.35">
      <c r="A148">
        <v>43</v>
      </c>
      <c r="B148" t="s">
        <v>115</v>
      </c>
      <c r="C148" t="s">
        <v>256</v>
      </c>
      <c r="D148" s="1">
        <v>3.7799999999999999E-3</v>
      </c>
      <c r="E148" s="1">
        <v>1</v>
      </c>
      <c r="F148" s="1">
        <v>12.6</v>
      </c>
    </row>
    <row r="149" spans="1:6" x14ac:dyDescent="0.35">
      <c r="A149">
        <v>25</v>
      </c>
      <c r="B149" t="s">
        <v>115</v>
      </c>
      <c r="C149" t="s">
        <v>257</v>
      </c>
      <c r="D149" s="1">
        <v>3.7799999999999999E-3</v>
      </c>
      <c r="E149" s="1">
        <v>1</v>
      </c>
      <c r="F149" s="1">
        <v>32</v>
      </c>
    </row>
    <row r="150" spans="1:6" x14ac:dyDescent="0.35">
      <c r="A150">
        <v>112</v>
      </c>
      <c r="B150" t="s">
        <v>115</v>
      </c>
      <c r="C150" t="s">
        <v>258</v>
      </c>
      <c r="D150" s="1">
        <v>3.0999999999999999E-3</v>
      </c>
      <c r="E150" s="1">
        <v>1</v>
      </c>
      <c r="F150" s="1">
        <v>0.17399999999999999</v>
      </c>
    </row>
    <row r="151" spans="1:6" x14ac:dyDescent="0.35">
      <c r="A151">
        <v>55</v>
      </c>
      <c r="B151" t="s">
        <v>115</v>
      </c>
      <c r="C151" t="s">
        <v>259</v>
      </c>
      <c r="D151" s="1">
        <v>0</v>
      </c>
      <c r="E151" s="1">
        <v>1</v>
      </c>
      <c r="F151" s="1">
        <v>0</v>
      </c>
    </row>
    <row r="152" spans="1:6" x14ac:dyDescent="0.35">
      <c r="A152">
        <v>44</v>
      </c>
      <c r="B152" t="s">
        <v>115</v>
      </c>
      <c r="C152" t="s">
        <v>260</v>
      </c>
      <c r="D152" s="1">
        <v>1.6000000000000001E-3</v>
      </c>
      <c r="E152" s="1">
        <v>1</v>
      </c>
      <c r="F152" s="1">
        <v>0.3</v>
      </c>
    </row>
    <row r="153" spans="1:6" x14ac:dyDescent="0.35">
      <c r="A153">
        <v>113</v>
      </c>
      <c r="B153" t="s">
        <v>115</v>
      </c>
      <c r="C153" t="s">
        <v>261</v>
      </c>
      <c r="D153" s="1">
        <v>2.0699999999999998E-3</v>
      </c>
      <c r="E153" s="1">
        <v>1</v>
      </c>
      <c r="F153" s="1">
        <v>1.4999999999999999E-4</v>
      </c>
    </row>
    <row r="154" spans="1:6" x14ac:dyDescent="0.35">
      <c r="A154">
        <v>21</v>
      </c>
      <c r="B154" t="s">
        <v>115</v>
      </c>
      <c r="C154" t="s">
        <v>262</v>
      </c>
      <c r="D154" s="1">
        <v>1E-3</v>
      </c>
      <c r="E154" s="1">
        <v>1</v>
      </c>
      <c r="F154" s="1">
        <v>2.5</v>
      </c>
    </row>
    <row r="155" spans="1:6" x14ac:dyDescent="0.35">
      <c r="A155">
        <v>173</v>
      </c>
      <c r="B155" t="s">
        <v>115</v>
      </c>
      <c r="C155" t="s">
        <v>263</v>
      </c>
      <c r="D155" s="1">
        <v>8.5099999999999998E-4</v>
      </c>
      <c r="E155" s="1">
        <v>1</v>
      </c>
      <c r="F155" s="1">
        <v>0.42549999999999999</v>
      </c>
    </row>
    <row r="156" spans="1:6" x14ac:dyDescent="0.35">
      <c r="A156">
        <v>174</v>
      </c>
      <c r="B156" t="s">
        <v>115</v>
      </c>
      <c r="C156" t="s">
        <v>264</v>
      </c>
      <c r="D156" s="1">
        <v>7.0031E-4</v>
      </c>
      <c r="E156" s="1">
        <v>1</v>
      </c>
      <c r="F156" s="1">
        <v>2.80124</v>
      </c>
    </row>
    <row r="157" spans="1:6" x14ac:dyDescent="0.35">
      <c r="A157">
        <v>114</v>
      </c>
      <c r="B157" t="s">
        <v>115</v>
      </c>
      <c r="C157" t="s">
        <v>265</v>
      </c>
      <c r="D157" s="1">
        <v>0</v>
      </c>
      <c r="E157" s="1">
        <v>1</v>
      </c>
      <c r="F157" s="1">
        <v>0</v>
      </c>
    </row>
    <row r="158" spans="1:6" x14ac:dyDescent="0.35">
      <c r="A158">
        <v>116</v>
      </c>
      <c r="B158" t="s">
        <v>115</v>
      </c>
      <c r="C158" t="s">
        <v>266</v>
      </c>
      <c r="D158" s="1">
        <v>6.3E-3</v>
      </c>
      <c r="E158" s="1">
        <v>1</v>
      </c>
      <c r="F158" s="1">
        <v>18</v>
      </c>
    </row>
    <row r="159" spans="1:6" x14ac:dyDescent="0.35">
      <c r="A159">
        <v>115</v>
      </c>
      <c r="B159" t="s">
        <v>115</v>
      </c>
      <c r="C159" t="s">
        <v>267</v>
      </c>
      <c r="D159" s="1">
        <v>1.17E-2</v>
      </c>
      <c r="E159" s="1">
        <v>1</v>
      </c>
      <c r="F159" s="1">
        <v>46.8</v>
      </c>
    </row>
    <row r="160" spans="1:6" x14ac:dyDescent="0.35">
      <c r="A160">
        <v>175</v>
      </c>
      <c r="B160" t="s">
        <v>115</v>
      </c>
      <c r="C160" t="s">
        <v>268</v>
      </c>
      <c r="D160" s="1">
        <v>8.7299999999999997E-4</v>
      </c>
      <c r="E160" s="1">
        <v>1</v>
      </c>
      <c r="F160" s="1">
        <v>0.4365</v>
      </c>
    </row>
    <row r="161" spans="1:6" x14ac:dyDescent="0.35">
      <c r="A161">
        <v>176</v>
      </c>
      <c r="B161" t="s">
        <v>115</v>
      </c>
      <c r="C161" t="s">
        <v>269</v>
      </c>
      <c r="D161" s="1">
        <v>8.1099999999999998E-4</v>
      </c>
      <c r="E161" s="1">
        <v>1</v>
      </c>
      <c r="F161" s="1">
        <v>0.44605</v>
      </c>
    </row>
    <row r="162" spans="1:6" x14ac:dyDescent="0.35">
      <c r="A162">
        <v>117</v>
      </c>
      <c r="B162" t="s">
        <v>115</v>
      </c>
      <c r="C162" t="s">
        <v>270</v>
      </c>
      <c r="D162" s="1">
        <v>2.7049999999999999E-7</v>
      </c>
      <c r="E162" s="1">
        <v>1</v>
      </c>
      <c r="F162" s="1">
        <v>1.6E-2</v>
      </c>
    </row>
    <row r="163" spans="1:6" x14ac:dyDescent="0.35">
      <c r="A163">
        <v>177</v>
      </c>
      <c r="B163" t="s">
        <v>115</v>
      </c>
      <c r="C163" t="s">
        <v>271</v>
      </c>
      <c r="D163" s="1">
        <v>7.9100000000000004E-4</v>
      </c>
      <c r="E163" s="1">
        <v>1</v>
      </c>
      <c r="F163" s="1">
        <v>0.79100000000000004</v>
      </c>
    </row>
    <row r="164" spans="1:6" x14ac:dyDescent="0.35">
      <c r="A164">
        <v>108</v>
      </c>
      <c r="B164" t="s">
        <v>115</v>
      </c>
      <c r="C164" t="s">
        <v>272</v>
      </c>
      <c r="D164" s="1">
        <v>6.7000000000000002E-3</v>
      </c>
      <c r="E164" s="1">
        <v>1</v>
      </c>
      <c r="F164" s="1">
        <v>72</v>
      </c>
    </row>
    <row r="165" spans="1:6" x14ac:dyDescent="0.35">
      <c r="A165">
        <v>178</v>
      </c>
      <c r="B165" t="s">
        <v>115</v>
      </c>
      <c r="C165" t="s">
        <v>273</v>
      </c>
      <c r="D165" s="1">
        <v>8.2899999999999998E-4</v>
      </c>
      <c r="E165" s="1">
        <v>1</v>
      </c>
      <c r="F165" s="1">
        <v>1.0362499999999999</v>
      </c>
    </row>
    <row r="166" spans="1:6" x14ac:dyDescent="0.35">
      <c r="A166">
        <v>45</v>
      </c>
      <c r="B166" t="s">
        <v>115</v>
      </c>
      <c r="C166" t="s">
        <v>274</v>
      </c>
      <c r="D166" s="1">
        <v>7.4999999999999997E-3</v>
      </c>
      <c r="E166" s="1">
        <v>1</v>
      </c>
      <c r="F166" s="1">
        <v>0.7</v>
      </c>
    </row>
    <row r="167" spans="1:6" x14ac:dyDescent="0.35">
      <c r="A167">
        <v>119</v>
      </c>
      <c r="B167" t="s">
        <v>115</v>
      </c>
      <c r="C167" t="s">
        <v>275</v>
      </c>
      <c r="D167" s="1">
        <v>1.43E-2</v>
      </c>
      <c r="E167" s="1">
        <v>1</v>
      </c>
      <c r="F167" s="1">
        <v>158</v>
      </c>
    </row>
    <row r="168" spans="1:6" x14ac:dyDescent="0.35">
      <c r="A168">
        <v>120</v>
      </c>
      <c r="B168" t="s">
        <v>115</v>
      </c>
      <c r="C168" t="s">
        <v>276</v>
      </c>
      <c r="D168" s="1">
        <v>5.0000000000000001E-3</v>
      </c>
      <c r="E168" s="1">
        <v>1</v>
      </c>
      <c r="F168" s="1">
        <v>0</v>
      </c>
    </row>
    <row r="169" spans="1:6" x14ac:dyDescent="0.35">
      <c r="A169">
        <v>46</v>
      </c>
      <c r="B169" t="s">
        <v>115</v>
      </c>
      <c r="C169" t="s">
        <v>74</v>
      </c>
      <c r="D169" s="1">
        <v>7.5000000000000002E-4</v>
      </c>
      <c r="E169" s="1">
        <v>1</v>
      </c>
      <c r="F169" s="1">
        <v>0</v>
      </c>
    </row>
    <row r="170" spans="1:6" x14ac:dyDescent="0.35">
      <c r="A170">
        <v>121</v>
      </c>
      <c r="B170" t="s">
        <v>115</v>
      </c>
      <c r="C170" t="s">
        <v>277</v>
      </c>
      <c r="D170" s="1">
        <v>0</v>
      </c>
      <c r="E170" s="1">
        <v>1</v>
      </c>
      <c r="F170" s="1">
        <v>0</v>
      </c>
    </row>
    <row r="171" spans="1:6" x14ac:dyDescent="0.35">
      <c r="A171">
        <v>47</v>
      </c>
      <c r="B171" t="s">
        <v>115</v>
      </c>
      <c r="C171" t="s">
        <v>278</v>
      </c>
      <c r="D171" s="1">
        <v>1.005E-3</v>
      </c>
      <c r="E171" s="1">
        <v>1</v>
      </c>
      <c r="F171" s="1">
        <v>0</v>
      </c>
    </row>
    <row r="172" spans="1:6" x14ac:dyDescent="0.35">
      <c r="A172">
        <v>48</v>
      </c>
      <c r="B172" t="s">
        <v>115</v>
      </c>
      <c r="C172" t="s">
        <v>25</v>
      </c>
      <c r="D172" s="1">
        <v>1E-3</v>
      </c>
      <c r="E172" s="1">
        <v>1</v>
      </c>
      <c r="F172" s="1">
        <v>8.0000000000000004E-4</v>
      </c>
    </row>
    <row r="173" spans="1:6" x14ac:dyDescent="0.35">
      <c r="A173">
        <v>181</v>
      </c>
      <c r="B173" t="s">
        <v>279</v>
      </c>
      <c r="C173" t="s">
        <v>279</v>
      </c>
      <c r="D173" s="1">
        <v>1E-3</v>
      </c>
      <c r="E173" s="1">
        <v>1</v>
      </c>
      <c r="F173" s="1">
        <v>0.5</v>
      </c>
    </row>
    <row r="174" spans="1:6" x14ac:dyDescent="0.35">
      <c r="A174">
        <v>182</v>
      </c>
      <c r="B174" t="s">
        <v>279</v>
      </c>
      <c r="C174" t="s">
        <v>280</v>
      </c>
      <c r="D174" s="1">
        <v>1E-3</v>
      </c>
      <c r="E174" s="1">
        <v>1</v>
      </c>
      <c r="F174" s="1">
        <v>0.5</v>
      </c>
    </row>
    <row r="175" spans="1:6" x14ac:dyDescent="0.35">
      <c r="A175">
        <v>10</v>
      </c>
      <c r="B175" t="s">
        <v>85</v>
      </c>
      <c r="C175" t="s">
        <v>281</v>
      </c>
      <c r="D175" s="1">
        <v>1E-3</v>
      </c>
      <c r="E175" s="1">
        <v>1</v>
      </c>
      <c r="F175" s="1">
        <v>0.5</v>
      </c>
    </row>
    <row r="176" spans="1:6" x14ac:dyDescent="0.35">
      <c r="A176">
        <v>6</v>
      </c>
      <c r="B176" t="s">
        <v>85</v>
      </c>
      <c r="C176" t="s">
        <v>282</v>
      </c>
      <c r="D176" s="1">
        <v>0</v>
      </c>
      <c r="E176" s="1">
        <v>0</v>
      </c>
      <c r="F176" s="1">
        <v>0</v>
      </c>
    </row>
    <row r="177" spans="1:6" x14ac:dyDescent="0.35">
      <c r="A177">
        <v>8</v>
      </c>
      <c r="B177" t="s">
        <v>85</v>
      </c>
      <c r="C177" t="s">
        <v>283</v>
      </c>
      <c r="D177" s="1">
        <v>0</v>
      </c>
      <c r="E177" s="1">
        <v>1</v>
      </c>
      <c r="F177" s="1">
        <v>0</v>
      </c>
    </row>
    <row r="178" spans="1:6" x14ac:dyDescent="0.35">
      <c r="A178">
        <v>7</v>
      </c>
      <c r="B178" t="s">
        <v>85</v>
      </c>
      <c r="C178" t="s">
        <v>284</v>
      </c>
      <c r="D178" s="1">
        <v>5.0000000000000001E-3</v>
      </c>
      <c r="E178" s="1">
        <v>1</v>
      </c>
      <c r="F178" s="1">
        <v>0</v>
      </c>
    </row>
    <row r="179" spans="1:6" x14ac:dyDescent="0.35">
      <c r="A179">
        <v>1</v>
      </c>
      <c r="B179" t="s">
        <v>85</v>
      </c>
      <c r="C179" t="s">
        <v>285</v>
      </c>
      <c r="D179" s="1">
        <v>5.0000000000000001E-3</v>
      </c>
      <c r="E179" s="1">
        <v>5</v>
      </c>
      <c r="F179" s="1">
        <v>0.8</v>
      </c>
    </row>
    <row r="180" spans="1:6" x14ac:dyDescent="0.35">
      <c r="A180">
        <v>4</v>
      </c>
      <c r="B180" t="s">
        <v>85</v>
      </c>
      <c r="C180" t="s">
        <v>286</v>
      </c>
      <c r="D180" s="1">
        <v>4.0000000000000001E-3</v>
      </c>
      <c r="E180" s="1">
        <v>5</v>
      </c>
      <c r="F180" s="1">
        <v>1.2</v>
      </c>
    </row>
    <row r="181" spans="1:6" x14ac:dyDescent="0.35">
      <c r="A181">
        <v>9</v>
      </c>
      <c r="B181" t="s">
        <v>85</v>
      </c>
      <c r="C181" t="s">
        <v>287</v>
      </c>
      <c r="D181" s="1">
        <v>0.01</v>
      </c>
      <c r="E181" s="1">
        <v>5</v>
      </c>
      <c r="F181" s="1">
        <v>0.02</v>
      </c>
    </row>
    <row r="182" spans="1:6" x14ac:dyDescent="0.35">
      <c r="A182">
        <v>2</v>
      </c>
      <c r="B182" t="s">
        <v>85</v>
      </c>
      <c r="C182" t="s">
        <v>288</v>
      </c>
      <c r="D182" s="1">
        <v>5.0000000000000001E-3</v>
      </c>
      <c r="E182" s="1">
        <v>5</v>
      </c>
      <c r="F182" s="1">
        <v>0.18</v>
      </c>
    </row>
    <row r="183" spans="1:6" x14ac:dyDescent="0.35">
      <c r="A183">
        <v>3</v>
      </c>
      <c r="B183" t="s">
        <v>85</v>
      </c>
      <c r="C183" t="s">
        <v>289</v>
      </c>
      <c r="D183" s="1">
        <v>7.4999999999999997E-3</v>
      </c>
      <c r="E183" s="1">
        <v>5</v>
      </c>
      <c r="F183" s="1">
        <v>0.6</v>
      </c>
    </row>
    <row r="184" spans="1:6" x14ac:dyDescent="0.35">
      <c r="A184">
        <v>5</v>
      </c>
      <c r="B184" t="s">
        <v>85</v>
      </c>
      <c r="C184" t="s">
        <v>290</v>
      </c>
      <c r="D184" s="1">
        <v>1E-4</v>
      </c>
      <c r="E184" s="1">
        <v>0.1</v>
      </c>
      <c r="F184" s="1">
        <v>4</v>
      </c>
    </row>
  </sheetData>
  <mergeCells count="1">
    <mergeCell ref="A1:F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DA03C-3906-434B-A671-449A6FE63186}">
  <sheetPr codeName="Sheet7">
    <tabColor theme="5"/>
  </sheetPr>
  <dimension ref="A1:AM323"/>
  <sheetViews>
    <sheetView zoomScaleNormal="100" workbookViewId="0">
      <pane xSplit="5" ySplit="1" topLeftCell="F2" activePane="bottomRight" state="frozen"/>
      <selection pane="topRight" activeCell="B1" sqref="B1"/>
      <selection pane="bottomLeft" activeCell="A2" sqref="A2"/>
      <selection pane="bottomRight" activeCell="K26" sqref="K26"/>
    </sheetView>
  </sheetViews>
  <sheetFormatPr defaultColWidth="8.81640625" defaultRowHeight="14.5" outlineLevelRow="1" outlineLevelCol="1" x14ac:dyDescent="0.35"/>
  <cols>
    <col min="1" max="1" width="3.7265625" style="107" customWidth="1"/>
    <col min="2" max="2" width="1.7265625" style="12" customWidth="1"/>
    <col min="3" max="3" width="3.7265625" style="12" customWidth="1"/>
    <col min="4" max="4" width="1.7265625" style="12" customWidth="1"/>
    <col min="5" max="5" width="8.1796875" style="19" customWidth="1"/>
    <col min="6" max="6" width="1.7265625" style="12" customWidth="1"/>
    <col min="7" max="7" width="1.7265625" style="12" customWidth="1" outlineLevel="1"/>
    <col min="8" max="8" width="14.7265625" style="12" customWidth="1" outlineLevel="1"/>
    <col min="9" max="9" width="21.7265625" style="12" customWidth="1" outlineLevel="1"/>
    <col min="10" max="10" width="23" style="12" customWidth="1" outlineLevel="1"/>
    <col min="11" max="11" width="20.81640625" style="12" customWidth="1" outlineLevel="1"/>
    <col min="12" max="13" width="1.7265625" style="12" customWidth="1"/>
    <col min="14" max="14" width="2.7265625" style="12" customWidth="1" outlineLevel="1"/>
    <col min="15" max="15" width="14.7265625" style="12" customWidth="1" outlineLevel="1"/>
    <col min="16" max="16" width="12.26953125" style="12" customWidth="1" outlineLevel="1"/>
    <col min="17" max="18" width="23" style="12" customWidth="1" outlineLevel="1"/>
    <col min="19" max="20" width="1.7265625" style="12" customWidth="1"/>
    <col min="21" max="21" width="1.7265625" style="12" customWidth="1" outlineLevel="1"/>
    <col min="22" max="22" width="14.26953125" style="12" customWidth="1" outlineLevel="1"/>
    <col min="23" max="23" width="12" style="12" customWidth="1" outlineLevel="1"/>
    <col min="24" max="25" width="23" style="12" customWidth="1" outlineLevel="1"/>
    <col min="26" max="27" width="1.7265625" style="12" customWidth="1"/>
    <col min="28" max="28" width="1.7265625" style="12" customWidth="1" outlineLevel="1"/>
    <col min="29" max="29" width="9.26953125" style="12" customWidth="1" outlineLevel="1"/>
    <col min="30" max="30" width="6.7265625" style="12" customWidth="1" outlineLevel="1"/>
    <col min="31" max="31" width="11" style="12" customWidth="1" outlineLevel="1"/>
    <col min="32" max="32" width="14.54296875" style="12" customWidth="1" outlineLevel="1"/>
    <col min="33" max="34" width="1.7265625" style="12" customWidth="1"/>
    <col min="35" max="35" width="1.7265625" style="12" customWidth="1" outlineLevel="1"/>
    <col min="36" max="36" width="13.7265625" style="12" bestFit="1" customWidth="1" outlineLevel="1"/>
    <col min="37" max="37" width="12" style="12" bestFit="1" customWidth="1" outlineLevel="1"/>
    <col min="38" max="38" width="13.81640625" style="12" bestFit="1" customWidth="1" outlineLevel="1"/>
    <col min="39" max="39" width="23" style="12" bestFit="1" customWidth="1" outlineLevel="1"/>
    <col min="40" max="41" width="1.7265625" style="12" customWidth="1"/>
    <col min="42" max="16384" width="8.81640625" style="12"/>
  </cols>
  <sheetData>
    <row r="1" spans="1:39" s="43" customFormat="1" x14ac:dyDescent="0.35">
      <c r="A1" s="106"/>
      <c r="E1" s="44"/>
      <c r="G1" s="254" t="s">
        <v>291</v>
      </c>
      <c r="H1" s="254"/>
      <c r="I1" s="254"/>
      <c r="J1" s="254"/>
      <c r="K1" s="254"/>
      <c r="N1" s="257" t="s">
        <v>292</v>
      </c>
      <c r="O1" s="257"/>
      <c r="P1" s="257"/>
      <c r="Q1" s="257"/>
      <c r="R1" s="257"/>
      <c r="S1" s="204"/>
      <c r="U1" s="254" t="s">
        <v>86</v>
      </c>
      <c r="V1" s="254"/>
      <c r="W1" s="254"/>
      <c r="X1" s="254"/>
      <c r="Y1" s="254"/>
      <c r="AB1" s="257" t="s">
        <v>293</v>
      </c>
      <c r="AC1" s="257"/>
      <c r="AD1" s="257"/>
      <c r="AE1" s="257"/>
      <c r="AF1" s="257"/>
      <c r="AI1" s="254" t="s">
        <v>294</v>
      </c>
      <c r="AJ1" s="254"/>
      <c r="AK1" s="254"/>
      <c r="AL1" s="254"/>
      <c r="AM1" s="254"/>
    </row>
    <row r="2" spans="1:39" x14ac:dyDescent="0.35">
      <c r="B2" s="204"/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</row>
    <row r="3" spans="1:39" ht="96" customHeight="1" x14ac:dyDescent="0.45">
      <c r="A3" s="259" t="s">
        <v>295</v>
      </c>
      <c r="B3" s="204"/>
      <c r="C3" s="258" t="s">
        <v>296</v>
      </c>
      <c r="D3" s="43"/>
      <c r="E3" s="258" t="s">
        <v>297</v>
      </c>
      <c r="F3" s="204"/>
      <c r="G3" s="35" t="s">
        <v>298</v>
      </c>
      <c r="H3" s="202"/>
      <c r="I3" s="202"/>
      <c r="J3" s="202"/>
      <c r="K3" s="202"/>
      <c r="L3" s="204"/>
      <c r="M3" s="204"/>
      <c r="N3" s="202"/>
      <c r="O3" s="202"/>
      <c r="P3" s="202"/>
      <c r="Q3" s="202"/>
      <c r="R3" s="202"/>
      <c r="S3" s="204"/>
      <c r="T3" s="204"/>
      <c r="U3" s="202"/>
      <c r="V3" s="202"/>
      <c r="W3" s="202"/>
      <c r="X3" s="202"/>
      <c r="Y3" s="202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</row>
    <row r="4" spans="1:39" x14ac:dyDescent="0.35">
      <c r="A4" s="259"/>
      <c r="B4" s="204"/>
      <c r="C4" s="258"/>
      <c r="D4" s="43"/>
      <c r="E4" s="258"/>
      <c r="F4" s="204"/>
      <c r="G4" s="204" t="s">
        <v>299</v>
      </c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  <c r="T4" s="204"/>
      <c r="U4" s="204"/>
      <c r="V4" s="204"/>
      <c r="W4" s="204"/>
      <c r="X4" s="204"/>
      <c r="Y4" s="204"/>
      <c r="Z4" s="204"/>
      <c r="AA4" s="204"/>
      <c r="AB4" s="204"/>
      <c r="AC4" s="204"/>
      <c r="AD4" s="204"/>
      <c r="AE4" s="204"/>
      <c r="AF4" s="204"/>
      <c r="AG4" s="204"/>
      <c r="AH4" s="204"/>
      <c r="AI4" s="204"/>
      <c r="AJ4" s="204"/>
      <c r="AK4" s="204"/>
      <c r="AL4" s="204"/>
      <c r="AM4" s="204"/>
    </row>
    <row r="5" spans="1:39" x14ac:dyDescent="0.35">
      <c r="A5" s="259"/>
      <c r="B5" s="204"/>
      <c r="C5" s="258"/>
      <c r="D5" s="43"/>
      <c r="E5" s="258"/>
      <c r="F5" s="204"/>
      <c r="G5" s="204" t="s">
        <v>297</v>
      </c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204"/>
      <c r="AG5" s="204"/>
      <c r="AH5" s="204"/>
      <c r="AI5" s="204"/>
      <c r="AJ5" s="204"/>
      <c r="AK5" s="204"/>
      <c r="AL5" s="204"/>
      <c r="AM5" s="204"/>
    </row>
    <row r="6" spans="1:39" x14ac:dyDescent="0.35">
      <c r="A6" s="259"/>
      <c r="B6" s="204"/>
      <c r="C6" s="258"/>
      <c r="D6" s="43"/>
      <c r="E6" s="258"/>
      <c r="F6" s="204"/>
      <c r="G6" s="204"/>
      <c r="H6" t="s">
        <v>300</v>
      </c>
      <c r="I6" t="s">
        <v>85</v>
      </c>
      <c r="J6" t="s">
        <v>301</v>
      </c>
      <c r="K6" t="s">
        <v>302</v>
      </c>
      <c r="L6" s="204"/>
      <c r="M6" s="204"/>
      <c r="N6" s="204"/>
      <c r="O6" s="204"/>
      <c r="P6" s="204"/>
      <c r="Q6" s="204"/>
      <c r="R6" s="204"/>
      <c r="S6" s="204"/>
      <c r="T6" s="204"/>
      <c r="U6" s="204"/>
      <c r="V6" s="204"/>
      <c r="W6" s="204"/>
      <c r="X6" s="204"/>
      <c r="Y6" s="204"/>
      <c r="Z6" s="204"/>
      <c r="AA6" s="204"/>
      <c r="AB6" s="204"/>
      <c r="AC6" s="204"/>
      <c r="AD6" s="204"/>
      <c r="AE6" s="204"/>
      <c r="AF6" s="204"/>
      <c r="AG6" s="204"/>
      <c r="AH6" s="204"/>
      <c r="AI6" s="204"/>
      <c r="AJ6" s="204"/>
      <c r="AK6" s="204"/>
      <c r="AL6" s="204"/>
      <c r="AM6" s="204"/>
    </row>
    <row r="7" spans="1:39" x14ac:dyDescent="0.35">
      <c r="A7" s="259"/>
      <c r="B7" s="204"/>
      <c r="C7" s="258"/>
      <c r="D7" s="43"/>
      <c r="E7" s="258"/>
      <c r="F7" s="204"/>
      <c r="G7" s="204"/>
      <c r="H7" t="s">
        <v>88</v>
      </c>
      <c r="I7">
        <v>16</v>
      </c>
      <c r="J7">
        <v>125</v>
      </c>
      <c r="K7" s="37">
        <f>IF(K9="1.25m",I7/I9-SUM(Reference!$C$44:$D$44)/I9,I7/I9)</f>
        <v>32</v>
      </c>
      <c r="L7" s="204"/>
      <c r="M7" s="204"/>
      <c r="N7" s="204"/>
      <c r="O7" s="204"/>
      <c r="P7" s="204"/>
      <c r="Q7" s="204"/>
      <c r="R7" s="204"/>
      <c r="S7" s="204"/>
      <c r="T7" s="204"/>
      <c r="U7" s="204"/>
      <c r="V7" s="204"/>
      <c r="W7" s="204"/>
      <c r="X7" s="204"/>
      <c r="Y7" s="204"/>
      <c r="Z7" s="204"/>
      <c r="AA7" s="204"/>
      <c r="AB7" s="204"/>
      <c r="AC7" s="204"/>
      <c r="AD7" s="204"/>
      <c r="AE7" s="204"/>
      <c r="AF7" s="204"/>
      <c r="AG7" s="204"/>
      <c r="AH7" s="204"/>
      <c r="AI7" s="204"/>
      <c r="AJ7" s="204"/>
      <c r="AK7" s="204"/>
      <c r="AL7" s="204"/>
      <c r="AM7" s="204"/>
    </row>
    <row r="8" spans="1:39" x14ac:dyDescent="0.35">
      <c r="A8" s="259"/>
      <c r="B8" s="204"/>
      <c r="C8" s="258"/>
      <c r="D8" s="43"/>
      <c r="E8" s="258"/>
      <c r="F8" s="204"/>
      <c r="G8" s="204"/>
      <c r="H8" t="s">
        <v>89</v>
      </c>
      <c r="I8" s="27">
        <v>1E-3</v>
      </c>
      <c r="J8" s="27">
        <v>0.02</v>
      </c>
      <c r="K8" s="38">
        <f>IF(K9="1.25m",I8/I9-SUM(Reference!$C$45:$D$45)/I9,I8/I9)</f>
        <v>2E-3</v>
      </c>
      <c r="L8" s="204"/>
      <c r="M8" s="204"/>
      <c r="N8" s="204"/>
      <c r="O8" s="204"/>
      <c r="P8" s="204"/>
      <c r="Q8" s="204"/>
      <c r="R8" s="204"/>
      <c r="S8" s="204"/>
      <c r="T8" s="204"/>
      <c r="U8" s="204"/>
      <c r="V8" s="204"/>
      <c r="W8" s="204"/>
      <c r="X8" s="204"/>
      <c r="Y8" s="204"/>
      <c r="Z8" s="204"/>
      <c r="AA8" s="204"/>
      <c r="AB8" s="204"/>
      <c r="AC8" s="204"/>
      <c r="AD8" s="204"/>
      <c r="AE8" s="204"/>
      <c r="AF8" s="204"/>
      <c r="AG8" s="204"/>
      <c r="AH8" s="204"/>
      <c r="AI8" s="204"/>
      <c r="AJ8" s="204"/>
      <c r="AK8" s="204"/>
      <c r="AL8" s="204"/>
      <c r="AM8" s="204"/>
    </row>
    <row r="9" spans="1:39" x14ac:dyDescent="0.35">
      <c r="A9" s="259"/>
      <c r="B9" s="204"/>
      <c r="C9" s="258"/>
      <c r="D9" s="43"/>
      <c r="E9" s="258"/>
      <c r="F9" s="204"/>
      <c r="G9" s="204"/>
      <c r="H9" s="33" t="s">
        <v>303</v>
      </c>
      <c r="I9" s="2">
        <v>0.5</v>
      </c>
      <c r="J9" s="34" t="s">
        <v>304</v>
      </c>
      <c r="K9" s="2" t="s">
        <v>44</v>
      </c>
      <c r="L9" s="204"/>
      <c r="M9" s="204"/>
      <c r="N9" s="204"/>
      <c r="O9" s="204"/>
      <c r="P9" s="204"/>
      <c r="Q9" s="36"/>
      <c r="R9" s="204"/>
      <c r="S9" s="204"/>
      <c r="T9" s="204"/>
      <c r="U9" s="204"/>
      <c r="V9" s="204"/>
      <c r="W9" s="204"/>
      <c r="X9" s="204"/>
      <c r="Y9" s="204"/>
      <c r="Z9" s="204"/>
      <c r="AA9" s="204"/>
      <c r="AB9" s="204"/>
      <c r="AC9" s="204"/>
      <c r="AD9" s="204"/>
      <c r="AE9" s="204"/>
      <c r="AF9" s="204"/>
      <c r="AG9" s="204"/>
      <c r="AH9" s="204"/>
      <c r="AI9" s="204"/>
      <c r="AJ9" s="204"/>
      <c r="AK9" s="204"/>
      <c r="AL9" s="204"/>
      <c r="AM9" s="204"/>
    </row>
    <row r="10" spans="1:39" x14ac:dyDescent="0.35">
      <c r="A10" s="259"/>
      <c r="B10" s="204"/>
      <c r="C10" s="258"/>
      <c r="D10" s="43"/>
      <c r="E10" s="43"/>
      <c r="F10" s="204"/>
      <c r="G10" s="204"/>
      <c r="H10" s="204"/>
      <c r="I10" s="204"/>
      <c r="J10" s="204"/>
      <c r="K10" s="204"/>
      <c r="L10" s="204"/>
      <c r="M10" s="204"/>
      <c r="N10" s="204"/>
      <c r="O10" s="204"/>
      <c r="P10" s="204"/>
      <c r="Q10" s="204"/>
      <c r="R10" s="204"/>
      <c r="S10" s="204"/>
      <c r="T10" s="204"/>
      <c r="U10" s="204"/>
      <c r="V10" s="204"/>
      <c r="W10" s="204"/>
      <c r="X10" s="204"/>
      <c r="Y10" s="204"/>
      <c r="Z10" s="204"/>
      <c r="AA10" s="204"/>
      <c r="AB10" s="204"/>
      <c r="AC10" s="204"/>
      <c r="AD10" s="204"/>
      <c r="AE10" s="204"/>
      <c r="AF10" s="204"/>
      <c r="AG10" s="204"/>
      <c r="AH10" s="204"/>
      <c r="AI10" s="204"/>
      <c r="AJ10" s="204"/>
      <c r="AK10" s="204"/>
      <c r="AL10" s="204"/>
      <c r="AM10" s="204"/>
    </row>
    <row r="11" spans="1:39" ht="18.5" x14ac:dyDescent="0.45">
      <c r="A11" s="259"/>
      <c r="B11" s="204"/>
      <c r="C11" s="258"/>
      <c r="D11" s="43"/>
      <c r="E11" s="258" t="s">
        <v>305</v>
      </c>
      <c r="F11" s="204"/>
      <c r="G11" s="35" t="s">
        <v>306</v>
      </c>
      <c r="H11" s="202"/>
      <c r="I11" s="202"/>
      <c r="J11" s="202"/>
      <c r="K11" s="202"/>
      <c r="L11" s="204"/>
      <c r="M11" s="204"/>
      <c r="N11" s="204"/>
      <c r="O11" s="204"/>
      <c r="P11" s="204"/>
      <c r="Q11" s="204"/>
      <c r="R11" s="204"/>
      <c r="S11" s="204"/>
      <c r="T11" s="204"/>
      <c r="U11" s="204"/>
      <c r="V11" s="204"/>
      <c r="W11" s="204"/>
      <c r="X11" s="204"/>
      <c r="Y11" s="204"/>
      <c r="Z11" s="204"/>
      <c r="AA11" s="204"/>
      <c r="AB11" s="204"/>
      <c r="AC11" s="204"/>
      <c r="AD11" s="204"/>
      <c r="AE11" s="204"/>
      <c r="AF11" s="204"/>
      <c r="AG11" s="204"/>
      <c r="AH11" s="204"/>
      <c r="AI11" s="204"/>
      <c r="AJ11" s="204"/>
      <c r="AK11" s="204"/>
      <c r="AL11" s="204"/>
      <c r="AM11" s="204"/>
    </row>
    <row r="12" spans="1:39" x14ac:dyDescent="0.35">
      <c r="A12" s="259"/>
      <c r="B12" s="204"/>
      <c r="C12" s="258"/>
      <c r="D12" s="43"/>
      <c r="E12" s="258"/>
      <c r="F12" s="204"/>
      <c r="G12" s="204" t="s">
        <v>307</v>
      </c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  <c r="S12" s="204"/>
      <c r="T12" s="204"/>
      <c r="U12" s="204"/>
      <c r="V12" s="204"/>
      <c r="W12" s="204"/>
      <c r="X12" s="204"/>
      <c r="Y12" s="204"/>
      <c r="Z12" s="204"/>
      <c r="AA12" s="204"/>
      <c r="AB12" s="204"/>
      <c r="AC12" s="204"/>
      <c r="AD12" s="204"/>
      <c r="AE12" s="204"/>
      <c r="AF12" s="204"/>
      <c r="AG12" s="204"/>
      <c r="AH12" s="204"/>
      <c r="AI12" s="204"/>
      <c r="AJ12" s="204"/>
      <c r="AK12" s="204"/>
      <c r="AL12" s="204"/>
      <c r="AM12" s="204"/>
    </row>
    <row r="13" spans="1:39" x14ac:dyDescent="0.35">
      <c r="A13" s="259"/>
      <c r="B13" s="204"/>
      <c r="C13" s="258"/>
      <c r="D13" s="43"/>
      <c r="E13" s="258"/>
      <c r="F13" s="204"/>
      <c r="G13" s="204" t="s">
        <v>308</v>
      </c>
      <c r="H13" s="204"/>
      <c r="I13" s="204"/>
      <c r="J13" s="204"/>
      <c r="K13" s="204"/>
      <c r="L13" s="204"/>
      <c r="M13" s="204"/>
      <c r="N13" s="204"/>
      <c r="O13" s="204"/>
      <c r="P13" s="204"/>
      <c r="Q13" s="204"/>
      <c r="R13" s="204"/>
      <c r="S13" s="204"/>
      <c r="T13" s="204"/>
      <c r="U13" s="204"/>
      <c r="V13" s="204"/>
      <c r="W13" s="204"/>
      <c r="X13" s="204"/>
      <c r="Y13" s="204"/>
      <c r="Z13" s="204"/>
      <c r="AA13" s="204"/>
      <c r="AB13" s="204"/>
      <c r="AC13" s="204"/>
      <c r="AD13" s="204"/>
      <c r="AE13" s="204"/>
      <c r="AF13" s="204"/>
      <c r="AG13" s="204"/>
      <c r="AH13" s="204"/>
      <c r="AI13" s="204"/>
      <c r="AJ13" s="204"/>
      <c r="AK13" s="204"/>
      <c r="AL13" s="204"/>
      <c r="AM13" s="204"/>
    </row>
    <row r="14" spans="1:39" x14ac:dyDescent="0.35">
      <c r="A14" s="259"/>
      <c r="B14" s="204"/>
      <c r="C14" s="258"/>
      <c r="D14" s="43"/>
      <c r="E14" s="258"/>
      <c r="F14" s="204"/>
      <c r="G14" s="204"/>
      <c r="H14" t="s">
        <v>300</v>
      </c>
      <c r="I14" t="s">
        <v>85</v>
      </c>
      <c r="J14" t="s">
        <v>301</v>
      </c>
      <c r="K14" t="s">
        <v>302</v>
      </c>
      <c r="L14" s="204"/>
      <c r="M14" s="204"/>
      <c r="N14" s="204"/>
      <c r="O14" s="204"/>
      <c r="P14" s="204"/>
      <c r="Q14" s="204"/>
      <c r="R14" s="204"/>
      <c r="S14" s="204"/>
      <c r="T14" s="204"/>
      <c r="U14" s="204"/>
      <c r="V14" s="204"/>
      <c r="W14" s="204"/>
      <c r="X14" s="204"/>
      <c r="Y14" s="204"/>
      <c r="Z14" s="204"/>
      <c r="AA14" s="204"/>
      <c r="AB14" s="204"/>
      <c r="AC14" s="204"/>
      <c r="AD14" s="204"/>
      <c r="AE14" s="204"/>
      <c r="AF14" s="204"/>
      <c r="AG14" s="204"/>
      <c r="AH14" s="204"/>
      <c r="AI14" s="204"/>
      <c r="AJ14" s="204"/>
      <c r="AK14" s="204"/>
      <c r="AL14" s="204"/>
      <c r="AM14" s="204"/>
    </row>
    <row r="15" spans="1:39" x14ac:dyDescent="0.35">
      <c r="A15" s="259"/>
      <c r="B15" s="204"/>
      <c r="C15" s="258"/>
      <c r="D15" s="43"/>
      <c r="E15" s="258"/>
      <c r="F15" s="204"/>
      <c r="G15" s="204"/>
      <c r="H15" t="s">
        <v>88</v>
      </c>
      <c r="I15">
        <v>149</v>
      </c>
      <c r="J15">
        <v>85</v>
      </c>
      <c r="K15" s="37">
        <f>IF(K17="1.25m",I15/I17-SUM(Reference!$C$44:$D$44)/I17,I15/I17)</f>
        <v>149</v>
      </c>
      <c r="L15" s="204"/>
      <c r="M15" s="204"/>
      <c r="N15" s="204"/>
      <c r="O15" s="204"/>
      <c r="P15" s="204"/>
      <c r="Q15" s="204"/>
      <c r="R15" s="204"/>
      <c r="S15" s="204"/>
      <c r="T15" s="204"/>
      <c r="U15" s="204"/>
      <c r="V15" s="204"/>
      <c r="W15" s="204"/>
      <c r="X15" s="204"/>
      <c r="Y15" s="204"/>
      <c r="Z15" s="204"/>
      <c r="AA15" s="204"/>
      <c r="AB15" s="204"/>
      <c r="AC15" s="204"/>
      <c r="AD15" s="204"/>
      <c r="AE15" s="204"/>
      <c r="AF15" s="204"/>
      <c r="AG15" s="204"/>
      <c r="AH15" s="204"/>
      <c r="AI15" s="204"/>
      <c r="AJ15" s="204"/>
      <c r="AK15" s="204"/>
      <c r="AL15" s="204"/>
      <c r="AM15" s="204"/>
    </row>
    <row r="16" spans="1:39" x14ac:dyDescent="0.35">
      <c r="A16" s="259"/>
      <c r="B16" s="204"/>
      <c r="C16" s="258"/>
      <c r="D16" s="43"/>
      <c r="E16" s="258"/>
      <c r="F16" s="204"/>
      <c r="G16" s="204"/>
      <c r="H16" t="s">
        <v>89</v>
      </c>
      <c r="I16" s="27">
        <v>3.3000000000000002E-2</v>
      </c>
      <c r="J16" s="27">
        <v>0.01</v>
      </c>
      <c r="K16" s="38">
        <f>IF(K17="1.25m",I16/I17-SUM(Reference!$C$45:$D$45)/I17,I16/I17)</f>
        <v>3.3000000000000002E-2</v>
      </c>
      <c r="L16" s="204"/>
      <c r="M16" s="204"/>
      <c r="N16" s="204"/>
      <c r="O16" s="204"/>
      <c r="P16" s="204"/>
      <c r="Q16" s="204"/>
      <c r="R16" s="204"/>
      <c r="S16" s="204"/>
      <c r="T16" s="204"/>
      <c r="U16" s="204"/>
      <c r="V16" s="204"/>
      <c r="W16" s="204"/>
      <c r="X16" s="204"/>
      <c r="Y16" s="204"/>
      <c r="Z16" s="204"/>
      <c r="AA16" s="204"/>
      <c r="AB16" s="204"/>
      <c r="AC16" s="204"/>
      <c r="AD16" s="204"/>
      <c r="AE16" s="204"/>
      <c r="AF16" s="204"/>
      <c r="AG16" s="204"/>
      <c r="AH16" s="204"/>
      <c r="AI16" s="204"/>
      <c r="AJ16" s="204"/>
      <c r="AK16" s="204"/>
      <c r="AL16" s="204"/>
      <c r="AM16" s="204"/>
    </row>
    <row r="17" spans="1:25" x14ac:dyDescent="0.35">
      <c r="A17" s="259"/>
      <c r="B17" s="204"/>
      <c r="C17" s="258"/>
      <c r="D17" s="43"/>
      <c r="E17" s="258"/>
      <c r="F17" s="204"/>
      <c r="G17" s="204"/>
      <c r="H17" s="33" t="s">
        <v>303</v>
      </c>
      <c r="I17" s="2">
        <v>1</v>
      </c>
      <c r="J17" s="34" t="s">
        <v>304</v>
      </c>
      <c r="K17" s="2" t="s">
        <v>44</v>
      </c>
      <c r="L17" s="204"/>
      <c r="M17" s="204"/>
      <c r="N17" s="204"/>
      <c r="O17" s="204"/>
      <c r="P17" s="204"/>
      <c r="Q17" s="204"/>
      <c r="R17" s="204"/>
      <c r="S17" s="204"/>
      <c r="T17" s="204"/>
      <c r="U17" s="204"/>
      <c r="V17" s="204"/>
      <c r="W17" s="204"/>
      <c r="X17" s="204"/>
      <c r="Y17" s="204"/>
    </row>
    <row r="18" spans="1:25" x14ac:dyDescent="0.35">
      <c r="A18" s="259"/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204"/>
      <c r="S18" s="204"/>
      <c r="T18" s="204"/>
      <c r="U18" s="204"/>
      <c r="V18" s="204"/>
      <c r="W18" s="204"/>
      <c r="X18" s="204"/>
      <c r="Y18" s="204"/>
    </row>
    <row r="19" spans="1:25" ht="23.5" customHeight="1" outlineLevel="1" x14ac:dyDescent="0.55000000000000004">
      <c r="A19" s="259"/>
      <c r="B19" s="204"/>
      <c r="C19" s="259" t="s">
        <v>309</v>
      </c>
      <c r="D19" s="204"/>
      <c r="E19" s="260" t="s">
        <v>310</v>
      </c>
      <c r="F19" s="204"/>
      <c r="G19" s="88" t="s">
        <v>311</v>
      </c>
      <c r="H19" s="26"/>
      <c r="I19" s="26"/>
      <c r="J19" s="26"/>
      <c r="K19" s="204"/>
      <c r="L19" s="204"/>
      <c r="M19" s="204"/>
      <c r="N19" s="202"/>
      <c r="O19" s="202"/>
      <c r="P19" s="202"/>
      <c r="Q19" s="202"/>
      <c r="R19" s="202"/>
      <c r="S19" s="204"/>
      <c r="T19" s="204"/>
      <c r="U19" s="202"/>
      <c r="V19" s="202"/>
      <c r="W19" s="202"/>
      <c r="X19" s="202"/>
      <c r="Y19" s="202"/>
    </row>
    <row r="20" spans="1:25" outlineLevel="1" x14ac:dyDescent="0.35">
      <c r="A20" s="259"/>
      <c r="B20" s="204"/>
      <c r="C20" s="259"/>
      <c r="D20" s="204"/>
      <c r="E20" s="260"/>
      <c r="F20" s="204"/>
      <c r="G20" s="204" t="s">
        <v>312</v>
      </c>
      <c r="H20" s="204"/>
      <c r="I20" s="204"/>
      <c r="J20" s="204"/>
      <c r="K20" s="204"/>
      <c r="L20" s="204"/>
      <c r="M20" s="204"/>
      <c r="N20" s="202"/>
      <c r="O20" s="202"/>
      <c r="P20" s="202"/>
      <c r="Q20" s="202"/>
      <c r="R20" s="202"/>
      <c r="S20" s="204"/>
      <c r="T20" s="204"/>
      <c r="U20" s="202"/>
      <c r="V20" s="202"/>
      <c r="W20" s="202"/>
      <c r="X20" s="202"/>
      <c r="Y20" s="202"/>
    </row>
    <row r="21" spans="1:25" outlineLevel="1" x14ac:dyDescent="0.35">
      <c r="A21" s="259"/>
      <c r="B21" s="204"/>
      <c r="C21" s="259"/>
      <c r="D21" s="204"/>
      <c r="E21" s="260"/>
      <c r="F21" s="204"/>
      <c r="G21" s="204" t="s">
        <v>310</v>
      </c>
      <c r="H21" s="204"/>
      <c r="I21" s="204"/>
      <c r="J21" s="204"/>
      <c r="K21" s="204"/>
      <c r="L21" s="204"/>
      <c r="M21" s="204"/>
      <c r="N21" s="202"/>
      <c r="O21" s="202"/>
      <c r="P21" s="202"/>
      <c r="Q21" s="202"/>
      <c r="R21" s="202"/>
      <c r="S21" s="204"/>
      <c r="T21" s="204"/>
      <c r="U21" s="202"/>
      <c r="V21" s="202"/>
      <c r="W21" s="202"/>
      <c r="X21" s="202"/>
      <c r="Y21" s="202"/>
    </row>
    <row r="22" spans="1:25" outlineLevel="1" x14ac:dyDescent="0.35">
      <c r="A22" s="259"/>
      <c r="B22" s="204"/>
      <c r="C22" s="259"/>
      <c r="D22" s="204"/>
      <c r="E22" s="260"/>
      <c r="F22" s="204"/>
      <c r="G22" s="204"/>
      <c r="H22" t="s">
        <v>300</v>
      </c>
      <c r="I22" t="s">
        <v>85</v>
      </c>
      <c r="J22" t="s">
        <v>301</v>
      </c>
      <c r="K22" t="s">
        <v>302</v>
      </c>
      <c r="L22" s="204"/>
      <c r="M22" s="204"/>
      <c r="N22" s="202"/>
      <c r="O22" s="202"/>
      <c r="P22" s="202"/>
      <c r="Q22" s="202"/>
      <c r="R22" s="202"/>
      <c r="S22" s="204"/>
      <c r="T22" s="204"/>
      <c r="U22" s="202"/>
      <c r="V22" s="202"/>
      <c r="W22" s="202"/>
      <c r="X22" s="202"/>
      <c r="Y22" s="202"/>
    </row>
    <row r="23" spans="1:25" outlineLevel="1" x14ac:dyDescent="0.35">
      <c r="A23" s="259"/>
      <c r="B23" s="204"/>
      <c r="C23" s="259"/>
      <c r="D23" s="204"/>
      <c r="E23" s="260"/>
      <c r="F23" s="204"/>
      <c r="G23" s="204"/>
      <c r="H23" t="s">
        <v>88</v>
      </c>
      <c r="I23">
        <v>150</v>
      </c>
      <c r="J23">
        <v>26</v>
      </c>
      <c r="K23" s="37">
        <f>I23/I29</f>
        <v>37.5</v>
      </c>
      <c r="L23" s="204"/>
      <c r="M23" s="204"/>
      <c r="N23" s="202"/>
      <c r="O23" s="202"/>
      <c r="P23" s="202"/>
      <c r="Q23" s="202"/>
      <c r="R23" s="202"/>
      <c r="S23" s="204"/>
      <c r="T23" s="204"/>
      <c r="U23" s="202"/>
      <c r="V23" s="202"/>
      <c r="W23" s="202"/>
      <c r="X23" s="202"/>
      <c r="Y23" s="202"/>
    </row>
    <row r="24" spans="1:25" outlineLevel="1" x14ac:dyDescent="0.35">
      <c r="A24" s="259"/>
      <c r="B24" s="204"/>
      <c r="C24" s="259"/>
      <c r="D24" s="204"/>
      <c r="E24" s="260"/>
      <c r="F24" s="204"/>
      <c r="G24" s="204"/>
      <c r="H24" t="s">
        <v>89</v>
      </c>
      <c r="I24" s="27">
        <v>6.25E-2</v>
      </c>
      <c r="J24" s="27">
        <v>5.0000000000000001E-3</v>
      </c>
      <c r="K24" s="38">
        <f>IF(K29="1.25m",I24/I29-SUM($K$8,$K$16)/I29,I24/I29)</f>
        <v>6.8749999999999992E-3</v>
      </c>
      <c r="L24" s="204"/>
      <c r="M24" s="204"/>
      <c r="N24" s="202"/>
      <c r="O24" s="202"/>
      <c r="P24" s="202"/>
      <c r="Q24" s="202"/>
      <c r="R24" s="202"/>
      <c r="S24" s="204"/>
      <c r="T24" s="204"/>
      <c r="U24" s="202"/>
      <c r="V24" s="202"/>
      <c r="W24" s="202"/>
      <c r="X24" s="202"/>
      <c r="Y24" s="202"/>
    </row>
    <row r="25" spans="1:25" outlineLevel="1" x14ac:dyDescent="0.35">
      <c r="A25" s="259"/>
      <c r="B25" s="204"/>
      <c r="C25" s="259"/>
      <c r="D25" s="204"/>
      <c r="E25" s="260"/>
      <c r="F25" s="204"/>
      <c r="G25" s="204"/>
      <c r="H25" t="s">
        <v>285</v>
      </c>
      <c r="I25" s="28">
        <v>45</v>
      </c>
      <c r="J25" s="28">
        <v>9</v>
      </c>
      <c r="K25" s="37">
        <f>I25/I29</f>
        <v>11.25</v>
      </c>
      <c r="L25" s="204"/>
      <c r="M25" s="204"/>
      <c r="N25" s="202"/>
      <c r="O25" s="202"/>
      <c r="P25" s="202"/>
      <c r="Q25" s="202"/>
      <c r="R25" s="202"/>
      <c r="S25" s="204"/>
      <c r="T25" s="204"/>
      <c r="U25" s="202"/>
      <c r="V25" s="202"/>
      <c r="W25" s="202"/>
      <c r="X25" s="202"/>
      <c r="Y25" s="202"/>
    </row>
    <row r="26" spans="1:25" outlineLevel="1" x14ac:dyDescent="0.35">
      <c r="A26" s="259"/>
      <c r="B26" s="204"/>
      <c r="C26" s="259"/>
      <c r="D26" s="204"/>
      <c r="E26" s="260"/>
      <c r="F26" s="204"/>
      <c r="G26" s="204"/>
      <c r="H26" t="s">
        <v>288</v>
      </c>
      <c r="I26" s="28">
        <v>55</v>
      </c>
      <c r="J26" s="28">
        <v>11</v>
      </c>
      <c r="K26" s="37">
        <f>I26/I29</f>
        <v>13.75</v>
      </c>
      <c r="L26" s="204"/>
      <c r="M26" s="204"/>
      <c r="N26" s="202"/>
      <c r="O26" s="202"/>
      <c r="P26" s="202"/>
      <c r="Q26" s="202"/>
      <c r="R26" s="202"/>
      <c r="S26" s="204"/>
      <c r="T26" s="204"/>
      <c r="U26" s="202"/>
      <c r="V26" s="202"/>
      <c r="W26" s="202"/>
      <c r="X26" s="202"/>
      <c r="Y26" s="202"/>
    </row>
    <row r="27" spans="1:25" outlineLevel="1" x14ac:dyDescent="0.35">
      <c r="A27" s="259"/>
      <c r="B27" s="204"/>
      <c r="C27" s="259"/>
      <c r="D27" s="204"/>
      <c r="E27" s="260"/>
      <c r="F27" s="204"/>
      <c r="G27" s="204"/>
      <c r="H27" s="29" t="s">
        <v>313</v>
      </c>
      <c r="I27" s="30">
        <f>I23-INDEX(CommunityResourcePack[unitCost],MATCH(H25,CommunityResourcePack[name],0))*I25-INDEX(CommunityResourcePack[unitCost],MATCH(H26,CommunityResourcePack[name],0))*I26</f>
        <v>104.1</v>
      </c>
      <c r="J27" s="30">
        <f>J23-INDEX(CommunityResourcePack[unitCost],MATCH(H25,CommunityResourcePack[name],0))*J25-INDEX(CommunityResourcePack[unitCost],MATCH(H26,CommunityResourcePack[name],0))*J26</f>
        <v>16.82</v>
      </c>
      <c r="K27" s="30">
        <f>I27/I29</f>
        <v>26.024999999999999</v>
      </c>
      <c r="L27" s="204"/>
      <c r="M27" s="204"/>
      <c r="N27" s="202"/>
      <c r="O27" s="202"/>
      <c r="P27" s="202"/>
      <c r="Q27" s="202"/>
      <c r="R27" s="202"/>
      <c r="S27" s="204"/>
      <c r="T27" s="204"/>
      <c r="U27" s="202"/>
      <c r="V27" s="202"/>
      <c r="W27" s="202"/>
      <c r="X27" s="202"/>
      <c r="Y27" s="202"/>
    </row>
    <row r="28" spans="1:25" outlineLevel="1" x14ac:dyDescent="0.35">
      <c r="A28" s="259"/>
      <c r="B28" s="204"/>
      <c r="C28" s="259"/>
      <c r="D28" s="204"/>
      <c r="E28" s="260"/>
      <c r="F28" s="204"/>
      <c r="G28" s="204"/>
      <c r="H28" s="29" t="s">
        <v>314</v>
      </c>
      <c r="I28" s="31">
        <f>I24+INDEX(CommunityResourcePack[density],MATCH(H25,CommunityResourcePack[name],0))*I25+INDEX(CommunityResourcePack[density],MATCH(H26,CommunityResourcePack[name],0))*I26</f>
        <v>0.5625</v>
      </c>
      <c r="J28" s="31">
        <f>J24+INDEX(CommunityResourcePack[density],MATCH(H25,CommunityResourcePack[name],0))*J25+INDEX(CommunityResourcePack[density],MATCH(H26,CommunityResourcePack[name],0))*J26</f>
        <v>0.105</v>
      </c>
      <c r="K28" s="31">
        <f>IF(K51="1.25m",I50/I51-SUM($K$8,$K$16)/I51,I50/I51)</f>
        <v>4.9999999999999992E-3</v>
      </c>
      <c r="L28" s="204"/>
      <c r="M28" s="204"/>
      <c r="N28" s="202"/>
      <c r="O28" s="202"/>
      <c r="P28" s="202"/>
      <c r="Q28" s="202"/>
      <c r="R28" s="202"/>
      <c r="S28" s="204"/>
      <c r="T28" s="204"/>
      <c r="U28" s="202"/>
      <c r="V28" s="202"/>
      <c r="W28" s="202"/>
      <c r="X28" s="202"/>
      <c r="Y28" s="202"/>
    </row>
    <row r="29" spans="1:25" outlineLevel="1" x14ac:dyDescent="0.35">
      <c r="A29" s="259"/>
      <c r="B29" s="204"/>
      <c r="C29" s="259"/>
      <c r="D29" s="204"/>
      <c r="E29" s="260"/>
      <c r="F29" s="204"/>
      <c r="G29" s="202"/>
      <c r="H29" s="33" t="s">
        <v>303</v>
      </c>
      <c r="I29" s="2">
        <v>4</v>
      </c>
      <c r="J29" s="34" t="s">
        <v>304</v>
      </c>
      <c r="K29" s="2" t="s">
        <v>46</v>
      </c>
      <c r="L29" s="204"/>
      <c r="M29" s="204"/>
      <c r="N29" s="202"/>
      <c r="O29" s="202"/>
      <c r="P29" s="202"/>
      <c r="Q29" s="202"/>
      <c r="R29" s="202"/>
      <c r="S29" s="204"/>
      <c r="T29" s="204"/>
      <c r="U29" s="202"/>
      <c r="V29" s="202"/>
      <c r="W29" s="202"/>
      <c r="X29" s="202"/>
      <c r="Y29" s="202"/>
    </row>
    <row r="30" spans="1:25" outlineLevel="1" x14ac:dyDescent="0.35">
      <c r="A30" s="259"/>
      <c r="B30" s="204"/>
      <c r="C30" s="259"/>
      <c r="D30" s="204"/>
      <c r="E30" s="201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</row>
    <row r="31" spans="1:25" ht="23.5" customHeight="1" outlineLevel="1" x14ac:dyDescent="0.55000000000000004">
      <c r="A31" s="259"/>
      <c r="B31" s="204"/>
      <c r="C31" s="259"/>
      <c r="D31" s="204"/>
      <c r="E31" s="260" t="s">
        <v>98</v>
      </c>
      <c r="F31" s="204"/>
      <c r="G31" s="88" t="s">
        <v>315</v>
      </c>
      <c r="H31" s="202"/>
      <c r="I31" s="41"/>
      <c r="J31" s="202"/>
      <c r="K31" s="202"/>
      <c r="L31" s="204"/>
      <c r="M31" s="204"/>
      <c r="N31" s="202"/>
      <c r="O31" s="202"/>
      <c r="P31" s="202"/>
      <c r="Q31" s="202"/>
      <c r="R31" s="202"/>
      <c r="S31" s="204"/>
      <c r="T31" s="204"/>
      <c r="U31" s="202"/>
      <c r="V31" s="202"/>
      <c r="W31" s="202"/>
      <c r="X31" s="202"/>
      <c r="Y31" s="202"/>
    </row>
    <row r="32" spans="1:25" ht="23.5" outlineLevel="1" x14ac:dyDescent="0.55000000000000004">
      <c r="A32" s="259"/>
      <c r="B32" s="204"/>
      <c r="C32" s="259"/>
      <c r="D32" s="204"/>
      <c r="E32" s="260"/>
      <c r="F32" s="204"/>
      <c r="G32" s="204" t="s">
        <v>316</v>
      </c>
      <c r="H32" s="26"/>
      <c r="I32" s="26"/>
      <c r="J32" s="26"/>
      <c r="K32" s="204"/>
      <c r="L32" s="204"/>
      <c r="M32" s="204"/>
      <c r="N32" s="202"/>
      <c r="O32" s="202"/>
      <c r="P32" s="202"/>
      <c r="Q32" s="202"/>
      <c r="R32" s="202"/>
      <c r="S32" s="204"/>
      <c r="T32" s="204"/>
      <c r="U32" s="202"/>
      <c r="V32" s="202"/>
      <c r="W32" s="202"/>
      <c r="X32" s="202"/>
      <c r="Y32" s="202"/>
    </row>
    <row r="33" spans="1:25" ht="14.5" customHeight="1" outlineLevel="1" x14ac:dyDescent="0.35">
      <c r="A33" s="259"/>
      <c r="B33" s="204"/>
      <c r="C33" s="259"/>
      <c r="D33" s="204"/>
      <c r="E33" s="260"/>
      <c r="F33" s="204"/>
      <c r="G33" s="204" t="s">
        <v>98</v>
      </c>
      <c r="H33" s="204"/>
      <c r="I33" s="204"/>
      <c r="J33" s="204"/>
      <c r="K33" s="204"/>
      <c r="L33" s="204"/>
      <c r="M33" s="204"/>
      <c r="N33" s="202"/>
      <c r="O33" s="202"/>
      <c r="P33" s="202"/>
      <c r="Q33" s="202"/>
      <c r="R33" s="202"/>
      <c r="S33" s="204"/>
      <c r="T33" s="204"/>
      <c r="U33" s="202"/>
      <c r="V33" s="202"/>
      <c r="W33" s="202"/>
      <c r="X33" s="202"/>
      <c r="Y33" s="202"/>
    </row>
    <row r="34" spans="1:25" ht="14.5" customHeight="1" outlineLevel="1" x14ac:dyDescent="0.35">
      <c r="A34" s="259"/>
      <c r="B34" s="204"/>
      <c r="C34" s="259"/>
      <c r="D34" s="204"/>
      <c r="E34" s="260"/>
      <c r="F34" s="204"/>
      <c r="G34" s="204"/>
      <c r="H34" t="s">
        <v>300</v>
      </c>
      <c r="I34" t="s">
        <v>85</v>
      </c>
      <c r="J34" t="s">
        <v>301</v>
      </c>
      <c r="K34" t="s">
        <v>302</v>
      </c>
      <c r="L34" s="204"/>
      <c r="M34" s="204"/>
      <c r="N34" s="202"/>
      <c r="O34" s="202"/>
      <c r="P34" s="202"/>
      <c r="Q34" s="202"/>
      <c r="R34" s="202"/>
      <c r="S34" s="204"/>
      <c r="T34" s="204"/>
      <c r="U34" s="202"/>
      <c r="V34" s="202"/>
      <c r="W34" s="202"/>
      <c r="X34" s="202"/>
      <c r="Y34" s="202"/>
    </row>
    <row r="35" spans="1:25" ht="14.5" customHeight="1" outlineLevel="1" x14ac:dyDescent="0.35">
      <c r="A35" s="259"/>
      <c r="B35" s="204"/>
      <c r="C35" s="259"/>
      <c r="D35" s="204"/>
      <c r="E35" s="260"/>
      <c r="F35" s="204"/>
      <c r="G35" s="204"/>
      <c r="H35" t="s">
        <v>88</v>
      </c>
      <c r="I35">
        <v>330</v>
      </c>
      <c r="J35">
        <v>47</v>
      </c>
      <c r="K35" s="37">
        <f>I35/I40</f>
        <v>82.5</v>
      </c>
      <c r="L35" s="204"/>
      <c r="M35" s="204"/>
      <c r="N35" s="202"/>
      <c r="O35" s="202"/>
      <c r="P35" s="202"/>
      <c r="Q35" s="202"/>
      <c r="R35" s="202"/>
      <c r="S35" s="204"/>
      <c r="T35" s="204"/>
      <c r="U35" s="202"/>
      <c r="V35" s="202"/>
      <c r="W35" s="202"/>
      <c r="X35" s="202"/>
      <c r="Y35" s="202"/>
    </row>
    <row r="36" spans="1:25" ht="14.5" customHeight="1" outlineLevel="1" x14ac:dyDescent="0.35">
      <c r="A36" s="259"/>
      <c r="B36" s="204"/>
      <c r="C36" s="259"/>
      <c r="D36" s="204"/>
      <c r="E36" s="260"/>
      <c r="F36" s="204"/>
      <c r="G36" s="204"/>
      <c r="H36" t="s">
        <v>89</v>
      </c>
      <c r="I36" s="27">
        <v>0.08</v>
      </c>
      <c r="J36" s="27">
        <v>8.9999999999999993E-3</v>
      </c>
      <c r="K36" s="38">
        <f>IF(K40="1.25m",I36/I40-SUM($K$8,$K$16)/I40,I36/I40)</f>
        <v>1.125E-2</v>
      </c>
      <c r="L36" s="204"/>
      <c r="M36" s="204"/>
      <c r="N36" s="202"/>
      <c r="O36" s="202"/>
      <c r="P36" s="202"/>
      <c r="Q36" s="202"/>
      <c r="R36" s="202"/>
      <c r="S36" s="204"/>
      <c r="T36" s="204"/>
      <c r="U36" s="202"/>
      <c r="V36" s="202"/>
      <c r="W36" s="202"/>
      <c r="X36" s="202"/>
      <c r="Y36" s="202"/>
    </row>
    <row r="37" spans="1:25" ht="14.5" customHeight="1" outlineLevel="1" x14ac:dyDescent="0.35">
      <c r="A37" s="259"/>
      <c r="B37" s="204"/>
      <c r="C37" s="259"/>
      <c r="D37" s="204"/>
      <c r="E37" s="260"/>
      <c r="F37" s="204"/>
      <c r="G37" s="204"/>
      <c r="H37" t="s">
        <v>286</v>
      </c>
      <c r="I37" s="28">
        <v>120</v>
      </c>
      <c r="J37" s="28">
        <v>24</v>
      </c>
      <c r="K37" s="37">
        <f>I37/I40</f>
        <v>30</v>
      </c>
      <c r="L37" s="204"/>
      <c r="M37" s="204"/>
      <c r="N37" s="202"/>
      <c r="O37" s="202"/>
      <c r="P37" s="202"/>
      <c r="Q37" s="202"/>
      <c r="R37" s="202"/>
      <c r="S37" s="204"/>
      <c r="T37" s="204"/>
      <c r="U37" s="202"/>
      <c r="V37" s="202"/>
      <c r="W37" s="202"/>
      <c r="X37" s="202"/>
      <c r="Y37" s="202"/>
    </row>
    <row r="38" spans="1:25" ht="14.5" customHeight="1" outlineLevel="1" x14ac:dyDescent="0.35">
      <c r="A38" s="259"/>
      <c r="B38" s="204"/>
      <c r="C38" s="259"/>
      <c r="D38" s="204"/>
      <c r="E38" s="260"/>
      <c r="F38" s="204"/>
      <c r="G38" s="204"/>
      <c r="H38" s="29" t="s">
        <v>313</v>
      </c>
      <c r="I38" s="30">
        <f>I35-INDEX(CommunityResourcePack[unitCost],MATCH(H37,CommunityResourcePack[name],0))*I37</f>
        <v>186</v>
      </c>
      <c r="J38" s="30">
        <f>J35-INDEX(CommunityResourcePack[unitCost],MATCH(H37,CommunityResourcePack[name],0))*J37</f>
        <v>18.200000000000003</v>
      </c>
      <c r="K38" s="30">
        <f>I38/I40</f>
        <v>46.5</v>
      </c>
      <c r="L38" s="204"/>
      <c r="M38" s="204"/>
      <c r="N38" s="202"/>
      <c r="O38" s="202"/>
      <c r="P38" s="202"/>
      <c r="Q38" s="202"/>
      <c r="R38" s="202"/>
      <c r="S38" s="204"/>
      <c r="T38" s="204"/>
      <c r="U38" s="202"/>
      <c r="V38" s="202"/>
      <c r="W38" s="202"/>
      <c r="X38" s="202"/>
      <c r="Y38" s="202"/>
    </row>
    <row r="39" spans="1:25" ht="14.5" customHeight="1" outlineLevel="1" x14ac:dyDescent="0.35">
      <c r="A39" s="259"/>
      <c r="B39" s="204"/>
      <c r="C39" s="259"/>
      <c r="D39" s="204"/>
      <c r="E39" s="260"/>
      <c r="F39" s="204"/>
      <c r="G39" s="204"/>
      <c r="H39" s="29" t="s">
        <v>314</v>
      </c>
      <c r="I39" s="31">
        <f>I36+INDEX(CommunityResourcePack[density],MATCH(H37,CommunityResourcePack[name],0))*I37</f>
        <v>0.55999999999999994</v>
      </c>
      <c r="J39" s="31">
        <f>J36+INDEX(CommunityResourcePack[density],MATCH(H37,CommunityResourcePack[name],0))*J37</f>
        <v>0.105</v>
      </c>
      <c r="K39" s="31">
        <f>IF(K40="1.25m",I39/I40-SUM($K$8,$K$16)/I40,I39/I40)</f>
        <v>0.13124999999999998</v>
      </c>
      <c r="L39" s="204"/>
      <c r="M39" s="204"/>
      <c r="N39" s="202"/>
      <c r="O39" s="202"/>
      <c r="P39" s="202"/>
      <c r="Q39" s="202"/>
      <c r="R39" s="202"/>
      <c r="S39" s="204"/>
      <c r="T39" s="204"/>
      <c r="U39" s="202"/>
      <c r="V39" s="202"/>
      <c r="W39" s="202"/>
      <c r="X39" s="202"/>
      <c r="Y39" s="202"/>
    </row>
    <row r="40" spans="1:25" ht="14.5" customHeight="1" outlineLevel="1" x14ac:dyDescent="0.35">
      <c r="A40" s="259"/>
      <c r="B40" s="204"/>
      <c r="C40" s="259"/>
      <c r="D40" s="204"/>
      <c r="E40" s="260"/>
      <c r="F40" s="204"/>
      <c r="G40" s="202"/>
      <c r="H40" s="33" t="s">
        <v>303</v>
      </c>
      <c r="I40" s="2">
        <v>4</v>
      </c>
      <c r="J40" s="34" t="s">
        <v>304</v>
      </c>
      <c r="K40" s="2" t="s">
        <v>46</v>
      </c>
      <c r="L40" s="204"/>
      <c r="M40" s="204"/>
      <c r="N40" s="202"/>
      <c r="O40" s="202"/>
      <c r="P40" s="202"/>
      <c r="Q40" s="202"/>
      <c r="R40" s="202"/>
      <c r="S40" s="204"/>
      <c r="T40" s="204"/>
      <c r="U40" s="202"/>
      <c r="V40" s="202"/>
      <c r="W40" s="202"/>
      <c r="X40" s="202"/>
      <c r="Y40" s="202"/>
    </row>
    <row r="41" spans="1:25" ht="14.5" customHeight="1" outlineLevel="1" x14ac:dyDescent="0.35">
      <c r="A41" s="259"/>
      <c r="B41" s="204"/>
      <c r="C41" s="259"/>
      <c r="D41" s="204"/>
      <c r="E41" s="201"/>
      <c r="F41" s="204"/>
      <c r="G41" s="204"/>
      <c r="H41" s="204"/>
      <c r="I41" s="204"/>
      <c r="J41" s="204"/>
      <c r="K41" s="204"/>
      <c r="L41" s="204"/>
      <c r="M41" s="204"/>
      <c r="N41" s="204"/>
      <c r="O41" s="204"/>
      <c r="P41" s="204"/>
      <c r="Q41" s="204"/>
      <c r="R41" s="204"/>
      <c r="S41" s="204"/>
      <c r="T41" s="204"/>
      <c r="U41" s="204"/>
      <c r="V41" s="204"/>
      <c r="W41" s="204"/>
      <c r="X41" s="204"/>
      <c r="Y41" s="204"/>
    </row>
    <row r="42" spans="1:25" ht="23.5" outlineLevel="1" x14ac:dyDescent="0.55000000000000004">
      <c r="A42" s="259"/>
      <c r="B42" s="204"/>
      <c r="C42" s="259"/>
      <c r="D42" s="204"/>
      <c r="E42" s="260" t="s">
        <v>100</v>
      </c>
      <c r="F42" s="204"/>
      <c r="G42" s="88" t="s">
        <v>317</v>
      </c>
      <c r="H42" s="202"/>
      <c r="I42" s="202"/>
      <c r="J42" s="202"/>
      <c r="K42" s="202"/>
      <c r="L42" s="204"/>
      <c r="M42" s="204"/>
      <c r="N42" s="204"/>
      <c r="O42" s="204"/>
      <c r="P42" s="204"/>
      <c r="Q42" s="204"/>
      <c r="R42" s="204"/>
      <c r="S42" s="204"/>
      <c r="T42" s="204"/>
      <c r="U42" s="204"/>
      <c r="V42" s="204"/>
      <c r="W42" s="204"/>
      <c r="X42" s="204"/>
      <c r="Y42" s="204"/>
    </row>
    <row r="43" spans="1:25" ht="14.5" customHeight="1" outlineLevel="1" x14ac:dyDescent="0.55000000000000004">
      <c r="A43" s="259"/>
      <c r="B43" s="204"/>
      <c r="C43" s="259"/>
      <c r="D43" s="204"/>
      <c r="E43" s="260"/>
      <c r="F43" s="204"/>
      <c r="G43" s="204" t="s">
        <v>318</v>
      </c>
      <c r="H43" s="26"/>
      <c r="I43" s="26"/>
      <c r="J43" s="26"/>
      <c r="K43" s="204"/>
      <c r="L43" s="204"/>
      <c r="M43" s="204"/>
      <c r="N43" s="204"/>
      <c r="O43" s="204"/>
      <c r="P43" s="204"/>
      <c r="Q43" s="204"/>
      <c r="R43" s="204"/>
      <c r="S43" s="204"/>
      <c r="T43" s="204"/>
      <c r="U43" s="204"/>
      <c r="V43" s="204"/>
      <c r="W43" s="204"/>
      <c r="X43" s="204"/>
      <c r="Y43" s="204"/>
    </row>
    <row r="44" spans="1:25" ht="14.5" customHeight="1" outlineLevel="1" x14ac:dyDescent="0.35">
      <c r="A44" s="259"/>
      <c r="B44" s="204"/>
      <c r="C44" s="259"/>
      <c r="D44" s="204"/>
      <c r="E44" s="260"/>
      <c r="F44" s="204"/>
      <c r="G44" s="204" t="s">
        <v>100</v>
      </c>
      <c r="H44" s="204"/>
      <c r="I44" s="204"/>
      <c r="J44" s="204"/>
      <c r="K44" s="204"/>
      <c r="L44" s="204"/>
      <c r="M44" s="204"/>
      <c r="N44" s="204"/>
      <c r="O44" s="204"/>
      <c r="P44" s="204"/>
      <c r="Q44" s="204"/>
      <c r="R44" s="204"/>
      <c r="S44" s="204"/>
      <c r="T44" s="204"/>
      <c r="U44" s="204"/>
      <c r="V44" s="204"/>
      <c r="W44" s="204"/>
      <c r="X44" s="204"/>
      <c r="Y44" s="204"/>
    </row>
    <row r="45" spans="1:25" ht="14.5" customHeight="1" outlineLevel="1" x14ac:dyDescent="0.35">
      <c r="A45" s="259"/>
      <c r="B45" s="204"/>
      <c r="C45" s="259"/>
      <c r="D45" s="204"/>
      <c r="E45" s="260"/>
      <c r="F45" s="204"/>
      <c r="G45" s="204"/>
      <c r="H45" t="s">
        <v>300</v>
      </c>
      <c r="I45" t="s">
        <v>85</v>
      </c>
      <c r="J45" t="s">
        <v>301</v>
      </c>
      <c r="K45" t="s">
        <v>302</v>
      </c>
      <c r="L45" s="204"/>
      <c r="M45" s="204"/>
      <c r="N45" s="204"/>
      <c r="O45" s="204"/>
      <c r="P45" s="204"/>
      <c r="Q45" s="204"/>
      <c r="R45" s="204"/>
      <c r="S45" s="204"/>
      <c r="T45" s="204"/>
      <c r="U45" s="204"/>
      <c r="V45" s="204"/>
      <c r="W45" s="204"/>
      <c r="X45" s="204"/>
      <c r="Y45" s="204"/>
    </row>
    <row r="46" spans="1:25" ht="14.5" customHeight="1" outlineLevel="1" x14ac:dyDescent="0.35">
      <c r="A46" s="259"/>
      <c r="B46" s="204"/>
      <c r="C46" s="259"/>
      <c r="D46" s="204"/>
      <c r="E46" s="260"/>
      <c r="F46" s="204"/>
      <c r="G46" s="204"/>
      <c r="H46" t="s">
        <v>88</v>
      </c>
      <c r="I46">
        <v>880</v>
      </c>
      <c r="J46">
        <v>440</v>
      </c>
      <c r="K46" s="37">
        <f>I46/I51</f>
        <v>293.33333333333331</v>
      </c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</row>
    <row r="47" spans="1:25" ht="14.5" customHeight="1" outlineLevel="1" x14ac:dyDescent="0.35">
      <c r="A47" s="259"/>
      <c r="B47" s="204"/>
      <c r="C47" s="259"/>
      <c r="D47" s="204"/>
      <c r="E47" s="260"/>
      <c r="F47" s="204"/>
      <c r="G47" s="204"/>
      <c r="H47" t="s">
        <v>89</v>
      </c>
      <c r="I47" s="27">
        <v>0.05</v>
      </c>
      <c r="J47" s="27">
        <v>1.4E-2</v>
      </c>
      <c r="K47" s="38">
        <f>IF(K51="1.25m",I47/I51-SUM($K$8,$K$16)/I51,I47/I51)</f>
        <v>4.9999999999999992E-3</v>
      </c>
      <c r="L47" s="204"/>
      <c r="M47" s="204"/>
      <c r="N47" s="204"/>
      <c r="O47" s="204"/>
      <c r="P47" s="204"/>
      <c r="Q47" s="204"/>
      <c r="R47" s="204"/>
      <c r="S47" s="204"/>
      <c r="T47" s="204"/>
      <c r="U47" s="204"/>
      <c r="V47" s="204"/>
      <c r="W47" s="204"/>
      <c r="X47" s="204"/>
      <c r="Y47" s="204"/>
    </row>
    <row r="48" spans="1:25" ht="14.5" customHeight="1" outlineLevel="1" x14ac:dyDescent="0.35">
      <c r="A48" s="259"/>
      <c r="B48" s="204"/>
      <c r="C48" s="259"/>
      <c r="D48" s="204"/>
      <c r="E48" s="260"/>
      <c r="F48" s="204"/>
      <c r="G48" s="204"/>
      <c r="H48" t="s">
        <v>282</v>
      </c>
      <c r="I48" s="28">
        <v>1000</v>
      </c>
      <c r="J48" s="28">
        <v>500</v>
      </c>
      <c r="K48" s="37">
        <f>I48/I51</f>
        <v>333.33333333333331</v>
      </c>
      <c r="L48" s="204"/>
      <c r="M48" s="204"/>
      <c r="N48" s="204"/>
      <c r="O48" s="204"/>
      <c r="P48" s="204"/>
      <c r="Q48" s="204"/>
      <c r="R48" s="204"/>
      <c r="S48" s="204"/>
      <c r="T48" s="204"/>
      <c r="U48" s="204"/>
      <c r="V48" s="204"/>
      <c r="W48" s="204"/>
      <c r="X48" s="204"/>
      <c r="Y48" s="204"/>
    </row>
    <row r="49" spans="1:25" ht="14.5" customHeight="1" outlineLevel="1" x14ac:dyDescent="0.35">
      <c r="A49" s="259"/>
      <c r="B49" s="204"/>
      <c r="C49" s="259"/>
      <c r="D49" s="204"/>
      <c r="E49" s="260"/>
      <c r="F49" s="204"/>
      <c r="G49" s="204"/>
      <c r="H49" s="29" t="s">
        <v>313</v>
      </c>
      <c r="I49" s="30">
        <f>I46-INDEX(CommunityResourcePack[unitCost],MATCH(H48,CommunityResourcePack[name],0))*I48</f>
        <v>880</v>
      </c>
      <c r="J49" s="30">
        <f>J46-INDEX(CommunityResourcePack[unitCost],MATCH(H48,CommunityResourcePack[name],0))*J48</f>
        <v>440</v>
      </c>
      <c r="K49" s="30">
        <f>IF(K51="1.25m",I49/I51-SUM(Reference!$C$44:$D$44)/I51,I49/I51)</f>
        <v>293.33333333333331</v>
      </c>
      <c r="L49" s="204"/>
      <c r="M49" s="204"/>
      <c r="N49" s="204"/>
      <c r="O49" s="204"/>
      <c r="P49" s="204"/>
      <c r="Q49" s="204"/>
      <c r="R49" s="204"/>
      <c r="S49" s="204"/>
      <c r="T49" s="204"/>
      <c r="U49" s="204"/>
      <c r="V49" s="204"/>
      <c r="W49" s="204"/>
      <c r="X49" s="204"/>
      <c r="Y49" s="204"/>
    </row>
    <row r="50" spans="1:25" ht="14.5" customHeight="1" outlineLevel="1" x14ac:dyDescent="0.35">
      <c r="A50" s="259"/>
      <c r="B50" s="204"/>
      <c r="C50" s="259"/>
      <c r="D50" s="204"/>
      <c r="E50" s="260"/>
      <c r="F50" s="204"/>
      <c r="G50" s="204"/>
      <c r="H50" s="29" t="s">
        <v>314</v>
      </c>
      <c r="I50" s="31">
        <f>I47+INDEX(CommunityResourcePack[density],MATCH(H48,CommunityResourcePack[name],0))*I48</f>
        <v>0.05</v>
      </c>
      <c r="J50" s="31">
        <f>J47+INDEX(CommunityResourcePack[density],MATCH(H48,CommunityResourcePack[name],0))*J48</f>
        <v>1.4E-2</v>
      </c>
      <c r="K50" s="31">
        <f>IF(K51="1.25m",I50/I51-SUM(Reference!$C$45:$D$45)/I51,I50/I51)</f>
        <v>1.6666666666666666E-2</v>
      </c>
      <c r="L50" s="204"/>
      <c r="M50" s="204"/>
      <c r="N50" s="204"/>
      <c r="O50" s="204"/>
      <c r="P50" s="204"/>
      <c r="Q50" s="204"/>
      <c r="R50" s="204"/>
      <c r="S50" s="204"/>
      <c r="T50" s="204"/>
      <c r="U50" s="204"/>
      <c r="V50" s="204"/>
      <c r="W50" s="204"/>
      <c r="X50" s="204"/>
      <c r="Y50" s="204"/>
    </row>
    <row r="51" spans="1:25" ht="14.5" customHeight="1" outlineLevel="1" x14ac:dyDescent="0.35">
      <c r="A51" s="259"/>
      <c r="B51" s="204"/>
      <c r="C51" s="259"/>
      <c r="D51" s="204"/>
      <c r="E51" s="260"/>
      <c r="F51" s="204"/>
      <c r="G51" s="202"/>
      <c r="H51" s="33" t="s">
        <v>303</v>
      </c>
      <c r="I51" s="2">
        <v>3</v>
      </c>
      <c r="J51" s="34" t="s">
        <v>304</v>
      </c>
      <c r="K51" s="2" t="s">
        <v>46</v>
      </c>
      <c r="L51" s="204"/>
      <c r="M51" s="204"/>
      <c r="N51" s="204"/>
      <c r="O51" s="204"/>
      <c r="P51" s="204"/>
      <c r="Q51" s="204"/>
      <c r="R51" s="204"/>
      <c r="S51" s="204"/>
      <c r="T51" s="204"/>
      <c r="U51" s="204"/>
      <c r="V51" s="204"/>
      <c r="W51" s="204"/>
      <c r="X51" s="204"/>
      <c r="Y51" s="204"/>
    </row>
    <row r="52" spans="1:25" outlineLevel="1" x14ac:dyDescent="0.35">
      <c r="A52" s="259"/>
      <c r="B52" s="204"/>
      <c r="C52" s="259"/>
      <c r="D52" s="204"/>
      <c r="E52" s="201"/>
      <c r="F52" s="204"/>
      <c r="G52" s="204"/>
      <c r="H52" s="204"/>
      <c r="I52" s="204"/>
      <c r="J52" s="204"/>
      <c r="K52" s="204"/>
      <c r="L52" s="204"/>
      <c r="M52" s="204"/>
      <c r="N52" s="204"/>
      <c r="O52" s="204"/>
      <c r="P52" s="204"/>
      <c r="Q52" s="204"/>
      <c r="R52" s="204"/>
      <c r="S52" s="204"/>
      <c r="T52" s="204"/>
      <c r="U52" s="204"/>
      <c r="V52" s="204"/>
      <c r="W52" s="204"/>
      <c r="X52" s="204"/>
      <c r="Y52" s="204"/>
    </row>
    <row r="53" spans="1:25" ht="23.5" customHeight="1" outlineLevel="1" x14ac:dyDescent="0.55000000000000004">
      <c r="A53" s="259"/>
      <c r="B53" s="204"/>
      <c r="C53" s="259"/>
      <c r="D53" s="204"/>
      <c r="E53" s="260" t="s">
        <v>102</v>
      </c>
      <c r="F53" s="204"/>
      <c r="G53" s="88" t="s">
        <v>19</v>
      </c>
      <c r="H53" s="202"/>
      <c r="I53" s="202"/>
      <c r="J53" s="202"/>
      <c r="K53" s="202"/>
      <c r="L53" s="204"/>
      <c r="M53" s="204"/>
      <c r="N53" s="202"/>
      <c r="O53" s="202"/>
      <c r="P53" s="202"/>
      <c r="Q53" s="202"/>
      <c r="R53" s="202"/>
      <c r="S53" s="204"/>
      <c r="T53" s="204"/>
      <c r="U53" s="88" t="s">
        <v>19</v>
      </c>
      <c r="V53" s="202"/>
      <c r="W53" s="202"/>
      <c r="X53" s="202"/>
      <c r="Y53" s="202"/>
    </row>
    <row r="54" spans="1:25" ht="14.5" customHeight="1" outlineLevel="1" x14ac:dyDescent="0.55000000000000004">
      <c r="A54" s="259"/>
      <c r="B54" s="204"/>
      <c r="C54" s="259"/>
      <c r="D54" s="204"/>
      <c r="E54" s="260"/>
      <c r="F54" s="204"/>
      <c r="G54" s="204" t="s">
        <v>319</v>
      </c>
      <c r="H54" s="26"/>
      <c r="I54" s="26"/>
      <c r="J54" s="26"/>
      <c r="K54" s="204"/>
      <c r="L54" s="204"/>
      <c r="M54" s="204"/>
      <c r="N54" s="202"/>
      <c r="O54" s="202"/>
      <c r="P54" s="202"/>
      <c r="Q54" s="202"/>
      <c r="R54" s="202"/>
      <c r="S54" s="204"/>
      <c r="T54" s="204"/>
      <c r="U54" s="204" t="s">
        <v>320</v>
      </c>
      <c r="V54" s="26"/>
      <c r="W54" s="26"/>
      <c r="X54" s="26"/>
      <c r="Y54" s="204"/>
    </row>
    <row r="55" spans="1:25" ht="14.5" customHeight="1" outlineLevel="1" x14ac:dyDescent="0.35">
      <c r="A55" s="259"/>
      <c r="B55" s="204"/>
      <c r="C55" s="259"/>
      <c r="D55" s="204"/>
      <c r="E55" s="260"/>
      <c r="F55" s="204"/>
      <c r="G55" s="204" t="s">
        <v>102</v>
      </c>
      <c r="H55" s="204"/>
      <c r="I55" s="204"/>
      <c r="J55" s="204"/>
      <c r="K55" s="204"/>
      <c r="L55" s="204"/>
      <c r="M55" s="204"/>
      <c r="N55" s="202"/>
      <c r="O55" s="202"/>
      <c r="P55" s="202"/>
      <c r="Q55" s="202"/>
      <c r="R55" s="202"/>
      <c r="S55" s="204"/>
      <c r="T55" s="204"/>
      <c r="U55" s="204" t="s">
        <v>102</v>
      </c>
      <c r="V55" s="204"/>
      <c r="W55" s="204"/>
      <c r="X55" s="204"/>
      <c r="Y55" s="204"/>
    </row>
    <row r="56" spans="1:25" ht="14.5" customHeight="1" outlineLevel="1" x14ac:dyDescent="0.35">
      <c r="A56" s="259"/>
      <c r="B56" s="204"/>
      <c r="C56" s="259"/>
      <c r="D56" s="204"/>
      <c r="E56" s="260"/>
      <c r="F56" s="204"/>
      <c r="G56" s="204"/>
      <c r="H56" t="s">
        <v>300</v>
      </c>
      <c r="I56" t="s">
        <v>105</v>
      </c>
      <c r="J56" t="s">
        <v>301</v>
      </c>
      <c r="K56" t="s">
        <v>302</v>
      </c>
      <c r="L56" s="204"/>
      <c r="M56" s="204"/>
      <c r="N56" s="202"/>
      <c r="O56" s="202"/>
      <c r="P56" s="202"/>
      <c r="Q56" s="202"/>
      <c r="R56" s="202"/>
      <c r="S56" s="204"/>
      <c r="T56" s="204"/>
      <c r="U56" s="204"/>
      <c r="V56" t="s">
        <v>300</v>
      </c>
      <c r="W56" t="s">
        <v>86</v>
      </c>
      <c r="X56" t="s">
        <v>301</v>
      </c>
      <c r="Y56" t="s">
        <v>302</v>
      </c>
    </row>
    <row r="57" spans="1:25" ht="14.5" customHeight="1" outlineLevel="1" x14ac:dyDescent="0.35">
      <c r="A57" s="259"/>
      <c r="B57" s="204"/>
      <c r="C57" s="259"/>
      <c r="D57" s="204"/>
      <c r="E57" s="260"/>
      <c r="F57" s="204"/>
      <c r="G57" s="204"/>
      <c r="H57" t="s">
        <v>88</v>
      </c>
      <c r="I57">
        <v>303</v>
      </c>
      <c r="J57">
        <v>150</v>
      </c>
      <c r="K57" s="37">
        <f>I57/I62</f>
        <v>303</v>
      </c>
      <c r="L57" s="204"/>
      <c r="M57" s="204"/>
      <c r="N57" s="202"/>
      <c r="O57" s="202"/>
      <c r="P57" s="202"/>
      <c r="Q57" s="202"/>
      <c r="R57" s="202"/>
      <c r="S57" s="204"/>
      <c r="T57" s="204"/>
      <c r="U57" s="204"/>
      <c r="V57" t="s">
        <v>88</v>
      </c>
      <c r="W57">
        <v>500</v>
      </c>
      <c r="X57">
        <v>150</v>
      </c>
      <c r="Y57" s="37">
        <f>W57/W62</f>
        <v>500</v>
      </c>
    </row>
    <row r="58" spans="1:25" ht="14.5" customHeight="1" outlineLevel="1" x14ac:dyDescent="0.35">
      <c r="A58" s="259"/>
      <c r="B58" s="204"/>
      <c r="C58" s="259"/>
      <c r="D58" s="204"/>
      <c r="E58" s="260"/>
      <c r="F58" s="204"/>
      <c r="G58" s="204"/>
      <c r="H58" t="s">
        <v>89</v>
      </c>
      <c r="I58" s="27">
        <v>0.2</v>
      </c>
      <c r="J58" s="27">
        <v>9.9000000000000005E-2</v>
      </c>
      <c r="K58" s="38">
        <f>IF(K62="1.25m",I58/I62-SUM($K$8,$K$16)/I62,I58/I62)</f>
        <v>0.16500000000000001</v>
      </c>
      <c r="L58" s="204"/>
      <c r="M58" s="204"/>
      <c r="N58" s="202"/>
      <c r="O58" s="202"/>
      <c r="P58" s="202"/>
      <c r="Q58" s="202"/>
      <c r="R58" s="202"/>
      <c r="S58" s="204"/>
      <c r="T58" s="204"/>
      <c r="U58" s="204"/>
      <c r="V58" t="s">
        <v>89</v>
      </c>
      <c r="W58" s="27">
        <v>8.0000000000000002E-3</v>
      </c>
      <c r="X58" s="27">
        <v>9.9000000000000005E-2</v>
      </c>
      <c r="Y58" s="38">
        <f>IF(Y62="1.25m",W58/W62-SUM($K$8,$K$16)/W62,W58/W62)</f>
        <v>8.0000000000000002E-3</v>
      </c>
    </row>
    <row r="59" spans="1:25" ht="14.5" customHeight="1" outlineLevel="1" x14ac:dyDescent="0.35">
      <c r="A59" s="259"/>
      <c r="B59" s="204"/>
      <c r="C59" s="259"/>
      <c r="D59" s="204"/>
      <c r="E59" s="260"/>
      <c r="F59" s="204"/>
      <c r="G59" s="204"/>
      <c r="H59" t="s">
        <v>19</v>
      </c>
      <c r="I59" s="28">
        <v>53072.3</v>
      </c>
      <c r="J59" s="28">
        <v>26536</v>
      </c>
      <c r="K59" s="37">
        <f>I59/I62</f>
        <v>53072.3</v>
      </c>
      <c r="L59" s="204"/>
      <c r="M59" s="204"/>
      <c r="N59" s="202"/>
      <c r="O59" s="202"/>
      <c r="P59" s="202"/>
      <c r="Q59" s="202"/>
      <c r="R59" s="202"/>
      <c r="S59" s="204"/>
      <c r="T59" s="204"/>
      <c r="U59" s="204"/>
      <c r="V59" t="s">
        <v>19</v>
      </c>
      <c r="W59" s="28">
        <v>21350</v>
      </c>
      <c r="X59" s="28">
        <v>26536</v>
      </c>
      <c r="Y59" s="37">
        <f>W59/W62</f>
        <v>21350</v>
      </c>
    </row>
    <row r="60" spans="1:25" ht="14.5" customHeight="1" outlineLevel="1" x14ac:dyDescent="0.35">
      <c r="A60" s="259"/>
      <c r="B60" s="204"/>
      <c r="C60" s="259"/>
      <c r="D60" s="204"/>
      <c r="E60" s="260"/>
      <c r="F60" s="204"/>
      <c r="G60" s="204"/>
      <c r="H60" s="29" t="s">
        <v>313</v>
      </c>
      <c r="I60" s="30">
        <f>I57-INDEX(CommunityResourcePack[unitCost],MATCH(H59,CommunityResourcePack[name],0))*I59</f>
        <v>300.03665505719999</v>
      </c>
      <c r="J60" s="30">
        <f>J57-INDEX(CommunityResourcePack[unitCost],MATCH(H59,CommunityResourcePack[name],0))*J59</f>
        <v>148.518335904</v>
      </c>
      <c r="K60" s="30">
        <f>I60/I62</f>
        <v>300.03665505719999</v>
      </c>
      <c r="L60" s="204"/>
      <c r="M60" s="204"/>
      <c r="N60" s="202"/>
      <c r="O60" s="202"/>
      <c r="P60" s="202"/>
      <c r="Q60" s="202"/>
      <c r="R60" s="202"/>
      <c r="S60" s="204"/>
      <c r="T60" s="204"/>
      <c r="U60" s="204"/>
      <c r="V60" s="29" t="s">
        <v>313</v>
      </c>
      <c r="W60" s="30">
        <f>W57-INDEX(CommunityResourcePack[unitCost],MATCH(V59,CommunityResourcePack[name],0))*W59</f>
        <v>498.80790139999999</v>
      </c>
      <c r="X60" s="30">
        <f>X57-INDEX(CommunityResourcePack[unitCost],MATCH(V59,CommunityResourcePack[name],0))*X59</f>
        <v>148.518335904</v>
      </c>
      <c r="Y60" s="30">
        <f>W60/W62</f>
        <v>498.80790139999999</v>
      </c>
    </row>
    <row r="61" spans="1:25" ht="14.5" customHeight="1" outlineLevel="1" x14ac:dyDescent="0.35">
      <c r="A61" s="259"/>
      <c r="B61" s="204"/>
      <c r="C61" s="259"/>
      <c r="D61" s="204"/>
      <c r="E61" s="260"/>
      <c r="F61" s="204"/>
      <c r="G61" s="204"/>
      <c r="H61" s="29" t="s">
        <v>314</v>
      </c>
      <c r="I61" s="31">
        <f>I58+INDEX(CommunityResourcePack[density],MATCH(H59,CommunityResourcePack[name],0))*I59</f>
        <v>0.20477119977000002</v>
      </c>
      <c r="J61" s="31">
        <f>J58+INDEX(CommunityResourcePack[density],MATCH(H59,CommunityResourcePack[name],0))*J59</f>
        <v>0.10138558640000001</v>
      </c>
      <c r="K61" s="31">
        <f>IF(K62="1.25m",I61/I62-SUM($K$8,$K$16)/I62,I61/I62)</f>
        <v>0.16977119977000002</v>
      </c>
      <c r="L61" s="204"/>
      <c r="M61" s="204"/>
      <c r="N61" s="202"/>
      <c r="O61" s="202"/>
      <c r="P61" s="202"/>
      <c r="Q61" s="202"/>
      <c r="R61" s="202"/>
      <c r="S61" s="204"/>
      <c r="T61" s="204"/>
      <c r="U61" s="204"/>
      <c r="V61" s="29" t="s">
        <v>314</v>
      </c>
      <c r="W61" s="31">
        <f>W58+INDEX(CommunityResourcePack[density],MATCH(V59,CommunityResourcePack[name],0))*W59</f>
        <v>9.9193649999999994E-3</v>
      </c>
      <c r="X61" s="31">
        <f>X58+INDEX(CommunityResourcePack[density],MATCH(V59,CommunityResourcePack[name],0))*X59</f>
        <v>0.10138558640000001</v>
      </c>
      <c r="Y61" s="31">
        <f>IF(Y62="1.25m",W61/W62-SUM($K$8,$K$16)/W62,W61/W62)</f>
        <v>9.9193649999999994E-3</v>
      </c>
    </row>
    <row r="62" spans="1:25" ht="14.5" customHeight="1" outlineLevel="1" x14ac:dyDescent="0.35">
      <c r="A62" s="259"/>
      <c r="B62" s="204"/>
      <c r="C62" s="259"/>
      <c r="D62" s="204"/>
      <c r="E62" s="260"/>
      <c r="F62" s="204"/>
      <c r="G62" s="204"/>
      <c r="H62" s="33" t="s">
        <v>303</v>
      </c>
      <c r="I62" s="2">
        <v>1</v>
      </c>
      <c r="J62" s="34" t="s">
        <v>304</v>
      </c>
      <c r="K62" s="2" t="s">
        <v>46</v>
      </c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33" t="s">
        <v>303</v>
      </c>
      <c r="W62" s="2">
        <v>1</v>
      </c>
      <c r="X62" s="34" t="s">
        <v>304</v>
      </c>
      <c r="Y62" s="2" t="s">
        <v>45</v>
      </c>
    </row>
    <row r="63" spans="1:25" outlineLevel="1" x14ac:dyDescent="0.35">
      <c r="A63" s="259"/>
      <c r="B63" s="204"/>
      <c r="C63" s="259"/>
      <c r="D63" s="204"/>
      <c r="E63" s="201"/>
      <c r="F63" s="204"/>
      <c r="G63" s="204"/>
      <c r="H63" s="204"/>
      <c r="I63" s="204"/>
      <c r="J63" s="204"/>
      <c r="K63" s="204"/>
      <c r="L63" s="204"/>
      <c r="M63" s="204"/>
      <c r="N63" s="204"/>
      <c r="O63" s="204"/>
      <c r="P63" s="204"/>
      <c r="Q63" s="204"/>
      <c r="R63" s="204"/>
      <c r="S63" s="204"/>
      <c r="T63" s="204"/>
      <c r="U63" s="204"/>
      <c r="V63" s="204"/>
      <c r="W63" s="204"/>
      <c r="X63" s="204"/>
      <c r="Y63" s="204"/>
    </row>
    <row r="64" spans="1:25" ht="23.5" outlineLevel="1" x14ac:dyDescent="0.55000000000000004">
      <c r="A64" s="259"/>
      <c r="B64" s="204"/>
      <c r="C64" s="259"/>
      <c r="D64" s="204"/>
      <c r="E64" s="261" t="s">
        <v>321</v>
      </c>
      <c r="F64" s="204"/>
      <c r="G64" s="88" t="s">
        <v>23</v>
      </c>
      <c r="H64" s="204"/>
      <c r="I64" s="204"/>
      <c r="J64" s="204"/>
      <c r="K64" s="204"/>
      <c r="L64" s="204"/>
      <c r="M64" s="204"/>
      <c r="N64" s="88" t="s">
        <v>23</v>
      </c>
      <c r="O64" s="26"/>
      <c r="P64" s="26"/>
      <c r="Q64" s="26"/>
      <c r="R64" s="204"/>
      <c r="S64" s="204"/>
      <c r="T64" s="204"/>
      <c r="U64" s="88" t="s">
        <v>23</v>
      </c>
      <c r="V64" s="26"/>
      <c r="W64" s="26"/>
      <c r="X64" s="26"/>
      <c r="Y64" s="204"/>
    </row>
    <row r="65" spans="1:39" ht="14.25" customHeight="1" outlineLevel="1" x14ac:dyDescent="0.55000000000000004">
      <c r="A65" s="259"/>
      <c r="B65" s="204"/>
      <c r="C65" s="259"/>
      <c r="D65" s="204"/>
      <c r="E65" s="261"/>
      <c r="F65" s="204"/>
      <c r="G65" s="204" t="s">
        <v>319</v>
      </c>
      <c r="H65" s="26"/>
      <c r="I65" s="26"/>
      <c r="J65" s="26"/>
      <c r="K65" s="204"/>
      <c r="L65" s="204"/>
      <c r="M65" s="204"/>
      <c r="N65" s="204" t="s">
        <v>319</v>
      </c>
      <c r="O65" s="204"/>
      <c r="P65" s="204"/>
      <c r="Q65" s="204"/>
      <c r="R65" s="204"/>
      <c r="S65" s="204"/>
      <c r="T65" s="204"/>
      <c r="U65" s="204" t="s">
        <v>320</v>
      </c>
      <c r="V65" s="204"/>
      <c r="W65" s="204"/>
      <c r="X65" s="204"/>
      <c r="Y65" s="204"/>
      <c r="Z65" s="204"/>
      <c r="AA65" s="204"/>
      <c r="AB65" s="204"/>
      <c r="AC65" s="204"/>
      <c r="AD65" s="204"/>
      <c r="AE65" s="204"/>
      <c r="AF65" s="204"/>
      <c r="AG65" s="204"/>
      <c r="AH65" s="204"/>
      <c r="AI65" s="204"/>
      <c r="AJ65" s="204"/>
      <c r="AK65" s="204"/>
      <c r="AL65" s="204"/>
      <c r="AM65" s="204"/>
    </row>
    <row r="66" spans="1:39" outlineLevel="1" x14ac:dyDescent="0.35">
      <c r="A66" s="259"/>
      <c r="B66" s="204"/>
      <c r="C66" s="259"/>
      <c r="D66" s="204"/>
      <c r="E66" s="261"/>
      <c r="F66" s="204"/>
      <c r="G66" s="204" t="s">
        <v>321</v>
      </c>
      <c r="H66" s="204"/>
      <c r="I66" s="204"/>
      <c r="J66" s="204"/>
      <c r="K66" s="204"/>
      <c r="L66" s="204"/>
      <c r="M66" s="204"/>
      <c r="N66" s="204" t="s">
        <v>321</v>
      </c>
      <c r="O66" s="204"/>
      <c r="P66" s="204"/>
      <c r="Q66" s="204"/>
      <c r="R66" s="204"/>
      <c r="S66" s="204"/>
      <c r="T66" s="204"/>
      <c r="U66" s="204" t="s">
        <v>321</v>
      </c>
      <c r="V66" s="204"/>
      <c r="W66" s="204"/>
      <c r="X66" s="204"/>
      <c r="Y66" s="204"/>
      <c r="Z66" s="204"/>
      <c r="AA66" s="204"/>
      <c r="AB66" s="204"/>
      <c r="AC66" s="204"/>
      <c r="AD66" s="204"/>
      <c r="AE66" s="204"/>
      <c r="AF66" s="204"/>
      <c r="AG66" s="204"/>
      <c r="AH66" s="204"/>
      <c r="AI66" s="204"/>
      <c r="AJ66" s="204"/>
      <c r="AK66" s="204"/>
      <c r="AL66" s="204"/>
      <c r="AM66" s="204"/>
    </row>
    <row r="67" spans="1:39" outlineLevel="1" x14ac:dyDescent="0.35">
      <c r="A67" s="259"/>
      <c r="B67" s="204"/>
      <c r="C67" s="259"/>
      <c r="D67" s="204"/>
      <c r="E67" s="261"/>
      <c r="F67" s="204"/>
      <c r="G67" s="204"/>
      <c r="H67" t="s">
        <v>300</v>
      </c>
      <c r="I67" t="s">
        <v>105</v>
      </c>
      <c r="J67" t="s">
        <v>301</v>
      </c>
      <c r="K67" t="s">
        <v>302</v>
      </c>
      <c r="L67" s="204"/>
      <c r="M67" s="204"/>
      <c r="N67" s="204"/>
      <c r="O67" t="s">
        <v>300</v>
      </c>
      <c r="P67" t="s">
        <v>105</v>
      </c>
      <c r="Q67" t="s">
        <v>301</v>
      </c>
      <c r="R67" t="s">
        <v>302</v>
      </c>
      <c r="S67" s="204"/>
      <c r="T67" s="204"/>
      <c r="U67" s="204"/>
      <c r="V67" t="s">
        <v>300</v>
      </c>
      <c r="W67" t="s">
        <v>86</v>
      </c>
      <c r="X67" t="s">
        <v>301</v>
      </c>
      <c r="Y67" t="s">
        <v>302</v>
      </c>
      <c r="Z67" s="204"/>
      <c r="AA67" s="204"/>
      <c r="AB67" s="204"/>
      <c r="AC67" s="204"/>
      <c r="AD67" s="204"/>
      <c r="AE67" s="204"/>
      <c r="AF67" s="204"/>
      <c r="AG67" s="204"/>
      <c r="AH67" s="204"/>
      <c r="AI67" s="204"/>
      <c r="AJ67" s="204"/>
      <c r="AK67" s="204"/>
      <c r="AL67" s="204"/>
      <c r="AM67" s="204"/>
    </row>
    <row r="68" spans="1:39" outlineLevel="1" x14ac:dyDescent="0.35">
      <c r="A68" s="259"/>
      <c r="B68" s="204"/>
      <c r="C68" s="259"/>
      <c r="D68" s="204"/>
      <c r="E68" s="261"/>
      <c r="F68" s="204"/>
      <c r="G68" s="204"/>
      <c r="H68" t="s">
        <v>88</v>
      </c>
      <c r="I68">
        <v>303</v>
      </c>
      <c r="J68">
        <v>150</v>
      </c>
      <c r="K68" s="37">
        <f>I68/I73</f>
        <v>151.5</v>
      </c>
      <c r="L68" s="204"/>
      <c r="M68" s="204"/>
      <c r="N68" s="204"/>
      <c r="O68" t="s">
        <v>88</v>
      </c>
      <c r="P68">
        <v>303</v>
      </c>
      <c r="Q68">
        <v>150</v>
      </c>
      <c r="R68" s="37">
        <f>P68/P73</f>
        <v>151.5</v>
      </c>
      <c r="S68" s="204"/>
      <c r="T68" s="204"/>
      <c r="U68" s="204"/>
      <c r="V68" t="s">
        <v>88</v>
      </c>
      <c r="W68">
        <v>500</v>
      </c>
      <c r="X68">
        <v>150</v>
      </c>
      <c r="Y68" s="37">
        <f>W68/W73</f>
        <v>500</v>
      </c>
      <c r="Z68" s="204"/>
      <c r="AA68" s="204"/>
      <c r="AB68" s="204"/>
      <c r="AC68" s="204"/>
      <c r="AD68" s="204"/>
      <c r="AE68" s="204"/>
      <c r="AF68" s="204"/>
      <c r="AG68" s="204"/>
      <c r="AH68" s="204"/>
      <c r="AI68" s="204"/>
      <c r="AJ68" s="204"/>
      <c r="AK68" s="204"/>
      <c r="AL68" s="204"/>
      <c r="AM68" s="204"/>
    </row>
    <row r="69" spans="1:39" outlineLevel="1" x14ac:dyDescent="0.35">
      <c r="A69" s="259"/>
      <c r="B69" s="204"/>
      <c r="C69" s="259"/>
      <c r="D69" s="204"/>
      <c r="E69" s="261"/>
      <c r="F69" s="204"/>
      <c r="G69" s="204"/>
      <c r="H69" t="s">
        <v>89</v>
      </c>
      <c r="I69" s="27">
        <v>0.2</v>
      </c>
      <c r="J69" s="27">
        <v>9.9000000000000005E-2</v>
      </c>
      <c r="K69" s="38">
        <f>IF(K73="1.25m",I69/I73-SUM($K$8,$K$16)/I73,I69/I73)</f>
        <v>8.2500000000000004E-2</v>
      </c>
      <c r="L69" s="204"/>
      <c r="M69" s="204"/>
      <c r="N69" s="204"/>
      <c r="O69" t="s">
        <v>89</v>
      </c>
      <c r="P69" s="27">
        <v>0.2</v>
      </c>
      <c r="Q69" s="27">
        <v>9.9000000000000005E-2</v>
      </c>
      <c r="R69" s="38">
        <f>IF(R73="1.25m",P69/P73-SUM($K$8,$K$16)/P73,P69/P73)</f>
        <v>8.2500000000000004E-2</v>
      </c>
      <c r="S69" s="204"/>
      <c r="T69" s="204"/>
      <c r="U69" s="204"/>
      <c r="V69" t="s">
        <v>89</v>
      </c>
      <c r="W69" s="27">
        <v>7.6E-3</v>
      </c>
      <c r="X69" s="27">
        <v>9.9000000000000005E-2</v>
      </c>
      <c r="Y69" s="38">
        <f>IF(Y73="1.25m",W69/W73-SUM($K$8,$K$16)/W73,W69/W73)</f>
        <v>7.6E-3</v>
      </c>
      <c r="Z69" s="204"/>
      <c r="AA69" s="204"/>
      <c r="AB69" s="204"/>
      <c r="AC69" s="204"/>
      <c r="AD69" s="204"/>
      <c r="AE69" s="204"/>
      <c r="AF69" s="204"/>
      <c r="AG69" s="204"/>
      <c r="AH69" s="204"/>
      <c r="AI69" s="204"/>
      <c r="AJ69" s="204"/>
      <c r="AK69" s="204"/>
      <c r="AL69" s="204"/>
      <c r="AM69" s="204"/>
    </row>
    <row r="70" spans="1:39" outlineLevel="1" x14ac:dyDescent="0.35">
      <c r="A70" s="259"/>
      <c r="B70" s="204"/>
      <c r="C70" s="259"/>
      <c r="D70" s="204"/>
      <c r="E70" s="261"/>
      <c r="F70" s="204"/>
      <c r="G70" s="204"/>
      <c r="H70" t="s">
        <v>23</v>
      </c>
      <c r="I70" s="28">
        <v>53072.3</v>
      </c>
      <c r="J70" s="28">
        <v>26536</v>
      </c>
      <c r="K70" s="37">
        <f>I70/I73</f>
        <v>26536.15</v>
      </c>
      <c r="L70" s="204"/>
      <c r="M70" s="204"/>
      <c r="N70" s="204"/>
      <c r="O70" t="s">
        <v>23</v>
      </c>
      <c r="P70" s="28">
        <v>53072.3</v>
      </c>
      <c r="Q70" s="28">
        <v>26536</v>
      </c>
      <c r="R70" s="37">
        <f>P70/P73</f>
        <v>26536.15</v>
      </c>
      <c r="S70" s="204"/>
      <c r="T70" s="204"/>
      <c r="U70" s="204"/>
      <c r="V70" t="s">
        <v>23</v>
      </c>
      <c r="W70" s="28">
        <v>6100</v>
      </c>
      <c r="X70" s="28">
        <v>26536</v>
      </c>
      <c r="Y70" s="37">
        <f>W70/W73</f>
        <v>6100</v>
      </c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</row>
    <row r="71" spans="1:39" outlineLevel="1" x14ac:dyDescent="0.35">
      <c r="A71" s="259"/>
      <c r="B71" s="204"/>
      <c r="C71" s="259"/>
      <c r="D71" s="204"/>
      <c r="E71" s="261"/>
      <c r="F71" s="204"/>
      <c r="G71" s="204"/>
      <c r="H71" s="29" t="s">
        <v>313</v>
      </c>
      <c r="I71" s="30">
        <f>I68-INDEX(CommunityResourcePack[unitCost],MATCH(H70,CommunityResourcePack[name],0))*I70</f>
        <v>300.03665505719999</v>
      </c>
      <c r="J71" s="30">
        <f>J68-INDEX(CommunityResourcePack[unitCost],MATCH(H70,CommunityResourcePack[name],0))*J70</f>
        <v>148.518335904</v>
      </c>
      <c r="K71" s="30">
        <f>I71/I73</f>
        <v>150.0183275286</v>
      </c>
      <c r="L71" s="204"/>
      <c r="M71" s="204"/>
      <c r="N71" s="204"/>
      <c r="O71" s="29" t="s">
        <v>313</v>
      </c>
      <c r="P71" s="30">
        <f>P68-INDEX(CommunityResourcePack[unitCost],MATCH(O70,CommunityResourcePack[name],0))*P70</f>
        <v>300.03665505719999</v>
      </c>
      <c r="Q71" s="30">
        <f>Q68-INDEX(CommunityResourcePack[unitCost],MATCH(O70,CommunityResourcePack[name],0))*Q70</f>
        <v>148.518335904</v>
      </c>
      <c r="R71" s="30">
        <f>P71/P73</f>
        <v>150.0183275286</v>
      </c>
      <c r="S71" s="204"/>
      <c r="T71" s="204"/>
      <c r="U71" s="204"/>
      <c r="V71" s="29" t="s">
        <v>313</v>
      </c>
      <c r="W71" s="30">
        <f>W68-INDEX(CommunityResourcePack[unitCost],MATCH(V70,CommunityResourcePack[name],0))*W70</f>
        <v>499.65940039999998</v>
      </c>
      <c r="X71" s="30">
        <f>X68-INDEX(CommunityResourcePack[unitCost],MATCH(V70,CommunityResourcePack[name],0))*X70</f>
        <v>148.518335904</v>
      </c>
      <c r="Y71" s="30">
        <f>W71/W73</f>
        <v>499.65940039999998</v>
      </c>
      <c r="Z71" s="204"/>
      <c r="AA71" s="204"/>
      <c r="AB71" s="204"/>
      <c r="AC71" s="204"/>
      <c r="AD71" s="204"/>
      <c r="AE71" s="204"/>
      <c r="AF71" s="204"/>
      <c r="AG71" s="204"/>
      <c r="AH71" s="204"/>
      <c r="AI71" s="204"/>
      <c r="AJ71" s="204"/>
      <c r="AK71" s="204"/>
      <c r="AL71" s="204"/>
      <c r="AM71" s="204"/>
    </row>
    <row r="72" spans="1:39" outlineLevel="1" x14ac:dyDescent="0.35">
      <c r="A72" s="259"/>
      <c r="B72" s="204"/>
      <c r="C72" s="259"/>
      <c r="D72" s="204"/>
      <c r="E72" s="261"/>
      <c r="F72" s="204"/>
      <c r="G72" s="204"/>
      <c r="H72" s="29" t="s">
        <v>314</v>
      </c>
      <c r="I72" s="31">
        <f>I69+INDEX(CommunityResourcePack[density],MATCH(H70,CommunityResourcePack[name],0))*I70</f>
        <v>0.27483194300000002</v>
      </c>
      <c r="J72" s="31">
        <f>J69+INDEX(CommunityResourcePack[density],MATCH(H70,CommunityResourcePack[name],0))*J70</f>
        <v>0.13641576</v>
      </c>
      <c r="K72" s="31">
        <f>IF(K73="1.25m",I72/I73-SUM($K$8,$K$16)/I73,I72/I73)</f>
        <v>0.11991597150000001</v>
      </c>
      <c r="L72" s="204"/>
      <c r="M72" s="204"/>
      <c r="N72" s="204"/>
      <c r="O72" s="29" t="s">
        <v>314</v>
      </c>
      <c r="P72" s="31">
        <f>P69+INDEX(CommunityResourcePack[density],MATCH(O70,CommunityResourcePack[name],0))*P70</f>
        <v>0.27483194300000002</v>
      </c>
      <c r="Q72" s="31">
        <f>Q69+INDEX(CommunityResourcePack[density],MATCH(O70,CommunityResourcePack[name],0))*Q70</f>
        <v>0.13641576</v>
      </c>
      <c r="R72" s="31">
        <f>IF(R73="1.25m",P72/P73-SUM($K$8,$K$16)/P73,P72/P73)</f>
        <v>0.11991597150000001</v>
      </c>
      <c r="S72" s="204"/>
      <c r="T72" s="204"/>
      <c r="U72" s="204"/>
      <c r="V72" s="29" t="s">
        <v>314</v>
      </c>
      <c r="W72" s="31">
        <f>W69+INDEX(CommunityResourcePack[density],MATCH(V70,CommunityResourcePack[name],0))*W70</f>
        <v>1.6201E-2</v>
      </c>
      <c r="X72" s="31">
        <f>X69+INDEX(CommunityResourcePack[density],MATCH(V70,CommunityResourcePack[name],0))*X70</f>
        <v>0.13641576</v>
      </c>
      <c r="Y72" s="31">
        <f>IF(Y73="1.25m",W72/W73-SUM($K$8,$K$16)/W73,W72/W73)</f>
        <v>1.6201E-2</v>
      </c>
      <c r="Z72" s="204"/>
      <c r="AA72" s="204"/>
      <c r="AB72" s="204"/>
      <c r="AC72" s="204"/>
      <c r="AD72" s="204"/>
      <c r="AE72" s="204"/>
      <c r="AF72" s="204"/>
      <c r="AG72" s="204"/>
      <c r="AH72" s="204"/>
      <c r="AI72" s="204"/>
      <c r="AJ72" s="204"/>
      <c r="AK72" s="204"/>
      <c r="AL72" s="204"/>
      <c r="AM72" s="204"/>
    </row>
    <row r="73" spans="1:39" ht="15" customHeight="1" outlineLevel="1" x14ac:dyDescent="0.35">
      <c r="A73" s="259"/>
      <c r="B73" s="204"/>
      <c r="C73" s="259"/>
      <c r="D73" s="204"/>
      <c r="E73" s="261"/>
      <c r="F73" s="204"/>
      <c r="G73" s="204"/>
      <c r="H73" s="33" t="s">
        <v>303</v>
      </c>
      <c r="I73" s="2">
        <v>2</v>
      </c>
      <c r="J73" s="34" t="s">
        <v>304</v>
      </c>
      <c r="K73" s="2" t="s">
        <v>46</v>
      </c>
      <c r="L73" s="204"/>
      <c r="M73" s="204"/>
      <c r="N73" s="204"/>
      <c r="O73" s="33" t="s">
        <v>303</v>
      </c>
      <c r="P73" s="2">
        <v>2</v>
      </c>
      <c r="Q73" s="34" t="s">
        <v>304</v>
      </c>
      <c r="R73" s="2" t="s">
        <v>46</v>
      </c>
      <c r="S73" s="204"/>
      <c r="T73" s="204"/>
      <c r="U73" s="204"/>
      <c r="V73" t="s">
        <v>303</v>
      </c>
      <c r="W73" s="2">
        <v>1</v>
      </c>
      <c r="X73" s="34" t="s">
        <v>304</v>
      </c>
      <c r="Y73" s="2" t="s">
        <v>45</v>
      </c>
      <c r="Z73" s="204"/>
      <c r="AA73" s="204"/>
      <c r="AB73" s="204"/>
      <c r="AC73" s="204"/>
      <c r="AD73" s="204"/>
      <c r="AE73" s="204"/>
      <c r="AF73" s="204"/>
      <c r="AG73" s="204"/>
      <c r="AH73" s="204"/>
      <c r="AI73" s="204"/>
      <c r="AJ73" s="204"/>
      <c r="AK73" s="204"/>
      <c r="AL73" s="204"/>
      <c r="AM73" s="204"/>
    </row>
    <row r="74" spans="1:39" outlineLevel="1" x14ac:dyDescent="0.35">
      <c r="A74" s="259"/>
      <c r="B74" s="204"/>
      <c r="C74" s="259"/>
      <c r="D74" s="204"/>
      <c r="E74" s="201"/>
      <c r="F74" s="204"/>
      <c r="G74" s="204"/>
      <c r="H74" s="204"/>
      <c r="I74" s="204"/>
      <c r="J74" s="204"/>
      <c r="K74" s="204"/>
      <c r="L74" s="204"/>
      <c r="M74" s="204"/>
      <c r="N74" s="204"/>
      <c r="O74" s="204"/>
      <c r="P74" s="204"/>
      <c r="Q74" s="204"/>
      <c r="R74" s="204"/>
      <c r="S74" s="204"/>
      <c r="T74" s="204"/>
      <c r="U74" s="204"/>
      <c r="V74" s="204"/>
      <c r="W74" s="204"/>
      <c r="X74" s="204"/>
      <c r="Y74" s="204"/>
      <c r="Z74" s="204"/>
      <c r="AA74" s="204"/>
      <c r="AB74" s="204"/>
      <c r="AC74" s="204"/>
      <c r="AD74" s="204"/>
      <c r="AE74" s="204"/>
      <c r="AF74" s="204"/>
      <c r="AG74" s="204"/>
      <c r="AH74" s="204"/>
      <c r="AI74" s="204"/>
      <c r="AJ74" s="204"/>
      <c r="AK74" s="204"/>
      <c r="AL74" s="204"/>
      <c r="AM74" s="204"/>
    </row>
    <row r="75" spans="1:39" ht="23.5" outlineLevel="1" x14ac:dyDescent="0.55000000000000004">
      <c r="A75" s="259"/>
      <c r="B75" s="204"/>
      <c r="C75" s="259"/>
      <c r="D75" s="204"/>
      <c r="E75" s="261" t="s">
        <v>322</v>
      </c>
      <c r="F75" s="204"/>
      <c r="G75" s="204"/>
      <c r="H75" s="204"/>
      <c r="I75" s="204"/>
      <c r="J75" s="204"/>
      <c r="K75" s="204"/>
      <c r="L75" s="204"/>
      <c r="M75" s="204"/>
      <c r="N75" s="88" t="s">
        <v>73</v>
      </c>
      <c r="O75" s="26"/>
      <c r="P75" s="26"/>
      <c r="Q75" s="26"/>
      <c r="R75" s="26"/>
      <c r="S75" s="204"/>
      <c r="T75" s="204"/>
      <c r="U75" s="88" t="s">
        <v>73</v>
      </c>
      <c r="V75" s="26"/>
      <c r="W75" s="26"/>
      <c r="X75" s="26"/>
      <c r="Y75" s="204"/>
      <c r="Z75" s="204"/>
      <c r="AA75" s="204"/>
      <c r="AB75" s="88" t="s">
        <v>279</v>
      </c>
      <c r="AC75" s="26"/>
      <c r="AD75" s="26"/>
      <c r="AE75" s="26"/>
      <c r="AF75" s="204"/>
      <c r="AG75" s="204"/>
      <c r="AH75" s="204"/>
      <c r="AI75" s="88" t="s">
        <v>262</v>
      </c>
      <c r="AJ75" s="26"/>
      <c r="AK75" s="26"/>
      <c r="AL75" s="26"/>
      <c r="AM75" s="204"/>
    </row>
    <row r="76" spans="1:39" outlineLevel="1" x14ac:dyDescent="0.35">
      <c r="A76" s="259"/>
      <c r="B76" s="204"/>
      <c r="C76" s="259"/>
      <c r="D76" s="204"/>
      <c r="E76" s="261"/>
      <c r="F76" s="204"/>
      <c r="G76" s="204"/>
      <c r="H76" s="204"/>
      <c r="I76" s="204"/>
      <c r="J76" s="204"/>
      <c r="K76" s="204"/>
      <c r="L76" s="204"/>
      <c r="M76" s="204"/>
      <c r="N76" s="204" t="s">
        <v>323</v>
      </c>
      <c r="O76" s="204"/>
      <c r="P76" s="204"/>
      <c r="Q76" s="204"/>
      <c r="R76" s="204"/>
      <c r="S76" s="204"/>
      <c r="T76" s="204"/>
      <c r="U76" s="204" t="s">
        <v>324</v>
      </c>
      <c r="V76" s="204"/>
      <c r="W76" s="204"/>
      <c r="X76" s="204"/>
      <c r="Y76" s="204"/>
      <c r="Z76" s="204"/>
      <c r="AA76" s="204"/>
      <c r="AB76" s="204" t="s">
        <v>325</v>
      </c>
      <c r="AC76" s="204"/>
      <c r="AD76" s="204"/>
      <c r="AE76" s="204"/>
      <c r="AF76" s="204"/>
      <c r="AG76" s="204"/>
      <c r="AH76" s="204"/>
      <c r="AI76" s="204" t="s">
        <v>326</v>
      </c>
      <c r="AJ76" s="204"/>
      <c r="AK76" s="204"/>
      <c r="AL76" s="204"/>
      <c r="AM76" s="204"/>
    </row>
    <row r="77" spans="1:39" outlineLevel="1" x14ac:dyDescent="0.35">
      <c r="A77" s="259"/>
      <c r="B77" s="204"/>
      <c r="C77" s="259"/>
      <c r="D77" s="204"/>
      <c r="E77" s="261"/>
      <c r="F77" s="204"/>
      <c r="G77" s="204"/>
      <c r="H77" s="204"/>
      <c r="I77" s="204"/>
      <c r="J77" s="204"/>
      <c r="K77" s="204"/>
      <c r="L77" s="204"/>
      <c r="M77" s="204"/>
      <c r="N77" s="204" t="s">
        <v>322</v>
      </c>
      <c r="O77" s="204"/>
      <c r="P77" s="204"/>
      <c r="Q77" s="204"/>
      <c r="R77" s="204"/>
      <c r="S77" s="204"/>
      <c r="T77" s="204"/>
      <c r="U77" s="204" t="s">
        <v>322</v>
      </c>
      <c r="V77" s="204"/>
      <c r="W77" s="204"/>
      <c r="X77" s="204"/>
      <c r="Y77" s="204"/>
      <c r="Z77" s="204"/>
      <c r="AA77" s="204"/>
      <c r="AB77" s="204" t="s">
        <v>327</v>
      </c>
      <c r="AC77" s="204"/>
      <c r="AD77" s="204"/>
      <c r="AE77" s="204"/>
      <c r="AF77" s="204"/>
      <c r="AG77" s="204"/>
      <c r="AH77" s="204"/>
      <c r="AI77" s="204" t="s">
        <v>328</v>
      </c>
      <c r="AJ77" s="204"/>
      <c r="AK77" s="204"/>
      <c r="AL77" s="204"/>
      <c r="AM77" s="204"/>
    </row>
    <row r="78" spans="1:39" outlineLevel="1" x14ac:dyDescent="0.35">
      <c r="A78" s="259"/>
      <c r="B78" s="204"/>
      <c r="C78" s="259"/>
      <c r="D78" s="204"/>
      <c r="E78" s="261"/>
      <c r="F78" s="204"/>
      <c r="G78" s="204"/>
      <c r="H78" s="204"/>
      <c r="I78" s="204"/>
      <c r="J78" s="204"/>
      <c r="K78" s="204"/>
      <c r="L78" s="204"/>
      <c r="M78" s="204"/>
      <c r="N78" s="204"/>
      <c r="O78" t="s">
        <v>300</v>
      </c>
      <c r="P78" t="s">
        <v>105</v>
      </c>
      <c r="Q78" t="s">
        <v>301</v>
      </c>
      <c r="R78" t="s">
        <v>302</v>
      </c>
      <c r="S78" s="204"/>
      <c r="T78" s="204"/>
      <c r="U78" s="204"/>
      <c r="V78" t="s">
        <v>300</v>
      </c>
      <c r="W78" t="s">
        <v>86</v>
      </c>
      <c r="X78" t="s">
        <v>301</v>
      </c>
      <c r="Y78" t="s">
        <v>302</v>
      </c>
      <c r="Z78" s="204"/>
      <c r="AA78" s="204"/>
      <c r="AB78" s="204"/>
      <c r="AC78" t="s">
        <v>300</v>
      </c>
      <c r="AD78" t="s">
        <v>279</v>
      </c>
      <c r="AE78" t="s">
        <v>301</v>
      </c>
      <c r="AF78" t="s">
        <v>302</v>
      </c>
      <c r="AG78" s="204"/>
      <c r="AH78" s="204"/>
      <c r="AI78" s="204"/>
      <c r="AJ78" t="s">
        <v>300</v>
      </c>
      <c r="AK78" t="s">
        <v>329</v>
      </c>
      <c r="AL78" t="s">
        <v>301</v>
      </c>
      <c r="AM78" t="s">
        <v>302</v>
      </c>
    </row>
    <row r="79" spans="1:39" outlineLevel="1" x14ac:dyDescent="0.35">
      <c r="A79" s="259"/>
      <c r="B79" s="204"/>
      <c r="C79" s="259"/>
      <c r="D79" s="204"/>
      <c r="E79" s="261"/>
      <c r="F79" s="204"/>
      <c r="G79" s="204"/>
      <c r="H79" s="204"/>
      <c r="I79" s="204"/>
      <c r="J79" s="204"/>
      <c r="K79" s="204"/>
      <c r="L79" s="204"/>
      <c r="M79" s="204"/>
      <c r="N79" s="204"/>
      <c r="O79" t="s">
        <v>88</v>
      </c>
      <c r="P79" s="28">
        <v>357</v>
      </c>
      <c r="Q79" s="28">
        <v>150</v>
      </c>
      <c r="R79" s="37">
        <f>P79/P84</f>
        <v>178.5</v>
      </c>
      <c r="S79" s="204"/>
      <c r="T79" s="204"/>
      <c r="U79" s="204"/>
      <c r="V79" t="s">
        <v>88</v>
      </c>
      <c r="W79">
        <v>500</v>
      </c>
      <c r="X79">
        <v>240</v>
      </c>
      <c r="Y79" s="37">
        <f>W79/W84</f>
        <v>125</v>
      </c>
      <c r="Z79" s="204"/>
      <c r="AA79" s="204"/>
      <c r="AB79" s="204"/>
      <c r="AC79" t="s">
        <v>88</v>
      </c>
      <c r="AD79">
        <v>150</v>
      </c>
      <c r="AE79">
        <v>240</v>
      </c>
      <c r="AF79" s="37">
        <f>AD79/AD84</f>
        <v>37.5</v>
      </c>
      <c r="AG79" s="204"/>
      <c r="AH79" s="204"/>
      <c r="AI79" s="204"/>
      <c r="AJ79" t="s">
        <v>88</v>
      </c>
      <c r="AK79">
        <v>1250</v>
      </c>
      <c r="AL79">
        <v>240</v>
      </c>
      <c r="AM79" s="37">
        <f>AK79/AK84</f>
        <v>312.5</v>
      </c>
    </row>
    <row r="80" spans="1:39" outlineLevel="1" x14ac:dyDescent="0.35">
      <c r="A80" s="259"/>
      <c r="B80" s="204"/>
      <c r="C80" s="259"/>
      <c r="D80" s="204"/>
      <c r="E80" s="261"/>
      <c r="F80" s="204"/>
      <c r="G80" s="204"/>
      <c r="H80" s="204"/>
      <c r="I80" s="201"/>
      <c r="J80" s="204"/>
      <c r="K80" s="204"/>
      <c r="L80" s="204"/>
      <c r="M80" s="204"/>
      <c r="N80" s="204"/>
      <c r="O80" t="s">
        <v>89</v>
      </c>
      <c r="P80">
        <v>0.2</v>
      </c>
      <c r="Q80">
        <v>9.9000000000000005E-2</v>
      </c>
      <c r="R80" s="38">
        <f>IF(R84="1.25m",P80/P84-SUM($K$8,$K$16)/P84,P80/P84)</f>
        <v>8.2500000000000004E-2</v>
      </c>
      <c r="S80" s="204"/>
      <c r="T80" s="204"/>
      <c r="U80" s="204"/>
      <c r="V80" t="s">
        <v>89</v>
      </c>
      <c r="W80" s="27">
        <v>0.04</v>
      </c>
      <c r="X80" s="27">
        <v>0.125</v>
      </c>
      <c r="Y80" s="38">
        <f>IF(Y84="1.25m",W80/W84-SUM($K$8,$K$16)/W84,W80/W84)</f>
        <v>1.2499999999999994E-3</v>
      </c>
      <c r="Z80" s="204"/>
      <c r="AA80" s="204"/>
      <c r="AB80" s="204"/>
      <c r="AC80" t="s">
        <v>89</v>
      </c>
      <c r="AD80" s="27">
        <v>0.05</v>
      </c>
      <c r="AE80" s="27">
        <v>0.125</v>
      </c>
      <c r="AF80" s="38">
        <f>IF(AF84="1.25m",AD80/AD84-SUM($K$8,$K$16)/AD84,AD80/AD84)</f>
        <v>1.2500000000000001E-2</v>
      </c>
      <c r="AG80" s="204"/>
      <c r="AH80" s="204"/>
      <c r="AI80" s="204"/>
      <c r="AJ80" t="s">
        <v>89</v>
      </c>
      <c r="AK80" s="27">
        <v>0.1</v>
      </c>
      <c r="AL80" s="27">
        <v>0.125</v>
      </c>
      <c r="AM80" s="38">
        <f>IF(AM84="1.25m",AK80/AK84-SUM($K$8,$K$16)/AK84,AK80/AK84)</f>
        <v>1.6250000000000001E-2</v>
      </c>
    </row>
    <row r="81" spans="1:39" outlineLevel="1" x14ac:dyDescent="0.35">
      <c r="A81" s="259"/>
      <c r="B81" s="204"/>
      <c r="C81" s="259"/>
      <c r="D81" s="204"/>
      <c r="E81" s="261"/>
      <c r="F81" s="204"/>
      <c r="G81" s="204"/>
      <c r="H81" s="204"/>
      <c r="I81" s="204"/>
      <c r="J81" s="204"/>
      <c r="K81" s="204"/>
      <c r="L81" s="204"/>
      <c r="M81" s="204"/>
      <c r="N81" s="204"/>
      <c r="O81" t="s">
        <v>73</v>
      </c>
      <c r="P81">
        <v>240</v>
      </c>
      <c r="Q81">
        <v>120</v>
      </c>
      <c r="R81" s="37">
        <f>P81/P84</f>
        <v>120</v>
      </c>
      <c r="S81" s="204"/>
      <c r="T81" s="204"/>
      <c r="U81" s="204"/>
      <c r="V81" t="s">
        <v>73</v>
      </c>
      <c r="W81" s="28">
        <v>450</v>
      </c>
      <c r="X81" s="28">
        <v>120</v>
      </c>
      <c r="Y81" s="37">
        <f>W81/W84</f>
        <v>112.5</v>
      </c>
      <c r="Z81" s="204"/>
      <c r="AA81" s="204"/>
      <c r="AB81" s="204"/>
      <c r="AC81" t="s">
        <v>279</v>
      </c>
      <c r="AD81" s="28">
        <v>500</v>
      </c>
      <c r="AE81" s="28">
        <v>125</v>
      </c>
      <c r="AF81" s="37">
        <f>AD81/AD84</f>
        <v>125</v>
      </c>
      <c r="AG81" s="204"/>
      <c r="AH81" s="204"/>
      <c r="AI81" s="204"/>
      <c r="AJ81" t="s">
        <v>262</v>
      </c>
      <c r="AK81" s="28">
        <v>510</v>
      </c>
      <c r="AL81" s="28">
        <v>125</v>
      </c>
      <c r="AM81" s="37">
        <f>AK81/AK84</f>
        <v>127.5</v>
      </c>
    </row>
    <row r="82" spans="1:39" ht="15" customHeight="1" outlineLevel="1" x14ac:dyDescent="0.35">
      <c r="A82" s="259"/>
      <c r="B82" s="204"/>
      <c r="C82" s="259"/>
      <c r="D82" s="204"/>
      <c r="E82" s="261"/>
      <c r="F82" s="204"/>
      <c r="G82" s="204"/>
      <c r="H82" s="204"/>
      <c r="I82" s="204"/>
      <c r="J82" s="204"/>
      <c r="K82" s="204"/>
      <c r="L82" s="204"/>
      <c r="M82" s="204"/>
      <c r="N82" s="204"/>
      <c r="O82" s="29" t="s">
        <v>313</v>
      </c>
      <c r="P82" s="30">
        <f>P79-INDEX(CommunityResourcePack[unitCost],MATCH(O81,CommunityResourcePack[name],0))*P81</f>
        <v>299.67007179487177</v>
      </c>
      <c r="Q82" s="30">
        <f>Q79-INDEX(CommunityResourcePack[unitCost],MATCH(O81,CommunityResourcePack[name],0))*Q81</f>
        <v>121.33503589743589</v>
      </c>
      <c r="R82" s="30">
        <f>P82/P84</f>
        <v>149.83503589743589</v>
      </c>
      <c r="S82" s="204"/>
      <c r="T82" s="204"/>
      <c r="U82" s="204"/>
      <c r="V82" s="29" t="s">
        <v>313</v>
      </c>
      <c r="W82" s="30">
        <f>W79-INDEX(CommunityResourcePack[unitCost],MATCH(V81,CommunityResourcePack[name],0))*W81</f>
        <v>392.50638461538455</v>
      </c>
      <c r="X82" s="30">
        <f>X79-INDEX(CommunityResourcePack[unitCost],MATCH(V81,CommunityResourcePack[name],0))*X81</f>
        <v>211.33503589743589</v>
      </c>
      <c r="Y82" s="30">
        <f>W82/W84</f>
        <v>98.126596153846137</v>
      </c>
      <c r="Z82" s="204"/>
      <c r="AA82" s="204"/>
      <c r="AB82" s="204"/>
      <c r="AC82" s="29" t="s">
        <v>313</v>
      </c>
      <c r="AD82" s="30">
        <f>AD79-INDEX(CommunityResourcePack[unitCost],MATCH(AC81,CommunityResourcePack[name],0))*AD81</f>
        <v>-100</v>
      </c>
      <c r="AE82" s="30">
        <f>AE79-INDEX(CommunityResourcePack[unitCost],MATCH(AC81,CommunityResourcePack[name],0))*AE81</f>
        <v>177.5</v>
      </c>
      <c r="AF82" s="30">
        <f>AD82/AD84</f>
        <v>-25</v>
      </c>
      <c r="AG82" s="204"/>
      <c r="AH82" s="204"/>
      <c r="AI82" s="204"/>
      <c r="AJ82" s="29" t="s">
        <v>313</v>
      </c>
      <c r="AK82" s="30">
        <f>AK79-INDEX(CommunityResourcePack[unitCost],MATCH(AJ81,CommunityResourcePack[name],0))*AK81</f>
        <v>-25</v>
      </c>
      <c r="AL82" s="30">
        <f>AL79-INDEX(CommunityResourcePack[unitCost],MATCH(AJ81,CommunityResourcePack[name],0))*AL81</f>
        <v>-72.5</v>
      </c>
      <c r="AM82" s="30">
        <f>AK82/AK84</f>
        <v>-6.25</v>
      </c>
    </row>
    <row r="83" spans="1:39" outlineLevel="1" x14ac:dyDescent="0.35">
      <c r="A83" s="259"/>
      <c r="B83" s="204"/>
      <c r="C83" s="259"/>
      <c r="D83" s="204"/>
      <c r="E83" s="261"/>
      <c r="F83" s="204"/>
      <c r="G83" s="204"/>
      <c r="H83" s="204"/>
      <c r="I83" s="204"/>
      <c r="J83" s="204"/>
      <c r="K83" s="204"/>
      <c r="L83" s="204"/>
      <c r="M83" s="204"/>
      <c r="N83" s="204"/>
      <c r="O83" s="29" t="s">
        <v>314</v>
      </c>
      <c r="P83" s="31">
        <f>P80+INDEX(CommunityResourcePack[density],MATCH(O81,CommunityResourcePack[name],0))*P81</f>
        <v>0.26744697435897441</v>
      </c>
      <c r="Q83" s="31">
        <f>Q80+INDEX(CommunityResourcePack[density],MATCH(O81,CommunityResourcePack[name],0))*Q81</f>
        <v>0.1327234871794872</v>
      </c>
      <c r="R83" s="31">
        <f>IF(R84="1.25m",P83/P84-SUM($K$8,$K$16)/P84,P83/P84)</f>
        <v>0.1162234871794872</v>
      </c>
      <c r="S83" s="204"/>
      <c r="T83" s="204"/>
      <c r="U83" s="204"/>
      <c r="V83" s="29" t="s">
        <v>314</v>
      </c>
      <c r="W83" s="31">
        <f>W80+INDEX(CommunityResourcePack[density],MATCH(V81,CommunityResourcePack[name],0))*W81</f>
        <v>0.16646307692307702</v>
      </c>
      <c r="X83" s="31">
        <f>X80+INDEX(CommunityResourcePack[density],MATCH(V81,CommunityResourcePack[name],0))*X81</f>
        <v>0.1587234871794872</v>
      </c>
      <c r="Y83" s="31">
        <f>IF(Y84="1.25m",W83/W84-SUM($K$8,$K$16)/W84,W83/W84)</f>
        <v>3.2865769230769254E-2</v>
      </c>
      <c r="Z83" s="204"/>
      <c r="AA83" s="204"/>
      <c r="AB83" s="204"/>
      <c r="AC83" s="29" t="s">
        <v>314</v>
      </c>
      <c r="AD83" s="31">
        <f>AD80+INDEX(CommunityResourcePack[density],MATCH(AC81,CommunityResourcePack[name],0))*AD81</f>
        <v>0.55000000000000004</v>
      </c>
      <c r="AE83" s="31">
        <f>AE80+INDEX(CommunityResourcePack[density],MATCH(AC81,CommunityResourcePack[name],0))*AE81</f>
        <v>0.25</v>
      </c>
      <c r="AF83" s="31">
        <f>IF(AF84="1.25m",AD83/AD84-SUM($K$8,$K$16)/AD84,AD83/AD84)</f>
        <v>0.13750000000000001</v>
      </c>
      <c r="AG83" s="204"/>
      <c r="AH83" s="204"/>
      <c r="AI83" s="204"/>
      <c r="AJ83" s="29" t="s">
        <v>314</v>
      </c>
      <c r="AK83" s="31">
        <f>AK80+INDEX(CommunityResourcePack[density],MATCH(AJ81,CommunityResourcePack[name],0))*AK81</f>
        <v>0.61</v>
      </c>
      <c r="AL83" s="31">
        <f>AL80+INDEX(CommunityResourcePack[density],MATCH(AJ81,CommunityResourcePack[name],0))*AL81</f>
        <v>0.25</v>
      </c>
      <c r="AM83" s="31">
        <f>IF(AM84="1.25m",AK83/AK84-SUM($K$8,$K$16)/AK84,AK83/AK84)</f>
        <v>0.14374999999999999</v>
      </c>
    </row>
    <row r="84" spans="1:39" outlineLevel="1" x14ac:dyDescent="0.35">
      <c r="A84" s="259"/>
      <c r="B84" s="204"/>
      <c r="C84" s="259"/>
      <c r="D84" s="204"/>
      <c r="E84" s="261"/>
      <c r="F84" s="204"/>
      <c r="G84" s="204"/>
      <c r="H84" s="204"/>
      <c r="I84" s="204"/>
      <c r="J84" s="204"/>
      <c r="K84" s="204"/>
      <c r="L84" s="204"/>
      <c r="M84" s="204"/>
      <c r="N84" s="204"/>
      <c r="O84" s="33" t="s">
        <v>303</v>
      </c>
      <c r="P84" s="2">
        <v>2</v>
      </c>
      <c r="Q84" s="34" t="s">
        <v>304</v>
      </c>
      <c r="R84" s="2" t="s">
        <v>46</v>
      </c>
      <c r="S84" s="204"/>
      <c r="T84" s="204"/>
      <c r="U84" s="204"/>
      <c r="V84" t="s">
        <v>303</v>
      </c>
      <c r="W84" s="2">
        <v>4</v>
      </c>
      <c r="X84" s="34" t="s">
        <v>304</v>
      </c>
      <c r="Y84" s="2" t="s">
        <v>46</v>
      </c>
      <c r="Z84" s="204"/>
      <c r="AA84" s="204"/>
      <c r="AB84" s="204"/>
      <c r="AC84" t="s">
        <v>303</v>
      </c>
      <c r="AD84" s="2">
        <v>4</v>
      </c>
      <c r="AE84" s="34" t="s">
        <v>304</v>
      </c>
      <c r="AF84" s="2" t="s">
        <v>44</v>
      </c>
      <c r="AG84" s="204"/>
      <c r="AH84" s="204"/>
      <c r="AI84" s="204"/>
      <c r="AJ84" t="s">
        <v>303</v>
      </c>
      <c r="AK84" s="2">
        <v>4</v>
      </c>
      <c r="AL84" s="34" t="s">
        <v>304</v>
      </c>
      <c r="AM84" s="2" t="s">
        <v>46</v>
      </c>
    </row>
    <row r="85" spans="1:39" outlineLevel="1" x14ac:dyDescent="0.35">
      <c r="A85" s="259"/>
      <c r="B85" s="204"/>
      <c r="C85" s="259"/>
      <c r="D85" s="204"/>
      <c r="E85" s="201"/>
      <c r="F85" s="204"/>
      <c r="G85" s="204"/>
      <c r="H85" s="204"/>
      <c r="I85" s="204"/>
      <c r="J85" s="204"/>
      <c r="K85" s="204"/>
      <c r="L85" s="204"/>
      <c r="M85" s="204"/>
      <c r="N85" s="204"/>
      <c r="O85" s="204"/>
      <c r="P85" s="204"/>
      <c r="Q85" s="204"/>
      <c r="R85" s="204"/>
      <c r="S85" s="204"/>
      <c r="T85" s="204"/>
      <c r="U85" s="204"/>
      <c r="V85" s="204"/>
      <c r="W85" s="204"/>
      <c r="X85" s="204"/>
      <c r="Y85" s="204"/>
      <c r="Z85" s="204"/>
      <c r="AA85" s="204"/>
      <c r="AB85" s="204"/>
      <c r="AC85" s="204"/>
      <c r="AD85" s="204"/>
      <c r="AE85" s="204"/>
      <c r="AF85" s="204"/>
      <c r="AG85" s="204"/>
      <c r="AH85" s="204"/>
      <c r="AI85" s="204"/>
      <c r="AJ85" s="204"/>
      <c r="AK85" s="204"/>
      <c r="AL85" s="204"/>
      <c r="AM85" s="204"/>
    </row>
    <row r="86" spans="1:39" ht="23.5" outlineLevel="1" x14ac:dyDescent="0.55000000000000004">
      <c r="A86" s="259"/>
      <c r="B86" s="204"/>
      <c r="C86" s="259"/>
      <c r="D86" s="204"/>
      <c r="E86" s="260" t="s">
        <v>330</v>
      </c>
      <c r="F86" s="204"/>
      <c r="G86" s="204"/>
      <c r="H86" s="204"/>
      <c r="I86" s="204"/>
      <c r="J86" s="204"/>
      <c r="K86" s="204"/>
      <c r="L86" s="204"/>
      <c r="M86" s="204"/>
      <c r="N86" s="88" t="s">
        <v>74</v>
      </c>
      <c r="O86" s="26"/>
      <c r="P86" s="26"/>
      <c r="Q86" s="26"/>
      <c r="R86" s="26"/>
      <c r="S86" s="204"/>
      <c r="T86" s="204"/>
      <c r="U86" s="88" t="s">
        <v>74</v>
      </c>
      <c r="V86" s="26"/>
      <c r="W86" s="26"/>
      <c r="X86" s="26"/>
      <c r="Y86" s="204"/>
      <c r="Z86" s="204"/>
      <c r="AA86" s="204"/>
      <c r="AB86" s="204"/>
      <c r="AC86" s="204"/>
      <c r="AD86" s="204"/>
      <c r="AE86" s="204"/>
      <c r="AF86" s="204"/>
      <c r="AG86" s="204"/>
      <c r="AH86" s="204"/>
      <c r="AI86" s="88" t="s">
        <v>226</v>
      </c>
      <c r="AJ86" s="26"/>
      <c r="AK86" s="26"/>
      <c r="AL86" s="26"/>
      <c r="AM86" s="204"/>
    </row>
    <row r="87" spans="1:39" outlineLevel="1" x14ac:dyDescent="0.35">
      <c r="A87" s="259"/>
      <c r="B87" s="204"/>
      <c r="C87" s="259"/>
      <c r="D87" s="204"/>
      <c r="E87" s="260"/>
      <c r="F87" s="204"/>
      <c r="G87" s="204"/>
      <c r="H87" s="204"/>
      <c r="I87" s="204"/>
      <c r="J87" s="204"/>
      <c r="K87" s="204"/>
      <c r="L87" s="204"/>
      <c r="M87" s="204"/>
      <c r="N87" s="204" t="s">
        <v>331</v>
      </c>
      <c r="O87" s="204"/>
      <c r="P87" s="204"/>
      <c r="Q87" s="204"/>
      <c r="R87" s="204"/>
      <c r="S87" s="204"/>
      <c r="T87" s="204"/>
      <c r="U87" s="204" t="s">
        <v>324</v>
      </c>
      <c r="V87" s="204"/>
      <c r="W87" s="204"/>
      <c r="X87" s="204"/>
      <c r="Y87" s="204"/>
      <c r="Z87" s="204"/>
      <c r="AA87" s="204"/>
      <c r="AB87" s="204"/>
      <c r="AC87" s="204"/>
      <c r="AD87" s="204"/>
      <c r="AE87" s="204"/>
      <c r="AF87" s="204"/>
      <c r="AG87" s="204"/>
      <c r="AH87" s="204"/>
      <c r="AI87" s="204" t="s">
        <v>326</v>
      </c>
      <c r="AJ87" s="204"/>
      <c r="AK87" s="204"/>
      <c r="AL87" s="204"/>
      <c r="AM87" s="204"/>
    </row>
    <row r="88" spans="1:39" outlineLevel="1" x14ac:dyDescent="0.35">
      <c r="A88" s="259"/>
      <c r="B88" s="204"/>
      <c r="C88" s="259"/>
      <c r="D88" s="204"/>
      <c r="E88" s="260"/>
      <c r="F88" s="204"/>
      <c r="G88" s="204"/>
      <c r="H88" s="204"/>
      <c r="I88" s="204"/>
      <c r="J88" s="204"/>
      <c r="K88" s="204"/>
      <c r="L88" s="204"/>
      <c r="M88" s="204"/>
      <c r="N88" s="204" t="s">
        <v>330</v>
      </c>
      <c r="O88" s="204"/>
      <c r="P88" s="204"/>
      <c r="Q88" s="204"/>
      <c r="R88" s="204"/>
      <c r="S88" s="204"/>
      <c r="T88" s="204"/>
      <c r="U88" s="204" t="s">
        <v>330</v>
      </c>
      <c r="V88" s="204"/>
      <c r="W88" s="204"/>
      <c r="X88" s="204"/>
      <c r="Y88" s="204"/>
      <c r="Z88" s="204"/>
      <c r="AA88" s="204"/>
      <c r="AB88" s="204"/>
      <c r="AC88" s="204"/>
      <c r="AD88" s="204"/>
      <c r="AE88" s="204"/>
      <c r="AF88" s="204"/>
      <c r="AG88" s="204"/>
      <c r="AH88" s="204"/>
      <c r="AI88" s="204" t="s">
        <v>332</v>
      </c>
      <c r="AJ88" s="204"/>
      <c r="AK88" s="204"/>
      <c r="AL88" s="204"/>
      <c r="AM88" s="204"/>
    </row>
    <row r="89" spans="1:39" outlineLevel="1" x14ac:dyDescent="0.35">
      <c r="A89" s="259"/>
      <c r="B89" s="204"/>
      <c r="C89" s="259"/>
      <c r="D89" s="204"/>
      <c r="E89" s="260"/>
      <c r="F89" s="204"/>
      <c r="G89" s="204"/>
      <c r="H89" s="204"/>
      <c r="I89" s="204"/>
      <c r="J89" s="204"/>
      <c r="K89" s="204"/>
      <c r="L89" s="204"/>
      <c r="M89" s="204"/>
      <c r="N89" s="204"/>
      <c r="O89" t="s">
        <v>300</v>
      </c>
      <c r="P89" t="s">
        <v>105</v>
      </c>
      <c r="Q89" t="s">
        <v>301</v>
      </c>
      <c r="R89" t="s">
        <v>302</v>
      </c>
      <c r="S89" s="204"/>
      <c r="T89" s="204"/>
      <c r="U89" s="204"/>
      <c r="V89" t="s">
        <v>300</v>
      </c>
      <c r="W89" t="s">
        <v>86</v>
      </c>
      <c r="X89" t="s">
        <v>301</v>
      </c>
      <c r="Y89" t="s">
        <v>302</v>
      </c>
      <c r="Z89" s="204"/>
      <c r="AA89" s="204"/>
      <c r="AB89" s="204"/>
      <c r="AC89" s="204"/>
      <c r="AD89" s="204"/>
      <c r="AE89" s="204"/>
      <c r="AF89" s="204"/>
      <c r="AG89" s="204"/>
      <c r="AH89" s="204"/>
      <c r="AI89" s="204"/>
      <c r="AJ89" t="s">
        <v>300</v>
      </c>
      <c r="AK89" t="s">
        <v>329</v>
      </c>
      <c r="AL89" t="s">
        <v>301</v>
      </c>
      <c r="AM89" t="s">
        <v>302</v>
      </c>
    </row>
    <row r="90" spans="1:39" outlineLevel="1" x14ac:dyDescent="0.35">
      <c r="A90" s="259"/>
      <c r="B90" s="204"/>
      <c r="C90" s="259"/>
      <c r="D90" s="204"/>
      <c r="E90" s="260"/>
      <c r="F90" s="204"/>
      <c r="G90" s="204"/>
      <c r="H90" s="204"/>
      <c r="I90" s="204"/>
      <c r="J90" s="204"/>
      <c r="K90" s="204"/>
      <c r="L90" s="204"/>
      <c r="M90" s="204"/>
      <c r="N90" s="204"/>
      <c r="O90" t="s">
        <v>88</v>
      </c>
      <c r="P90">
        <v>300</v>
      </c>
      <c r="Q90">
        <v>150</v>
      </c>
      <c r="R90" s="37">
        <f>P90/P95</f>
        <v>150</v>
      </c>
      <c r="S90" s="204"/>
      <c r="T90" s="204"/>
      <c r="U90" s="204"/>
      <c r="V90" t="s">
        <v>88</v>
      </c>
      <c r="W90">
        <v>500</v>
      </c>
      <c r="X90">
        <v>150</v>
      </c>
      <c r="Y90" s="37">
        <f>W90/W95</f>
        <v>125</v>
      </c>
      <c r="Z90" s="204"/>
      <c r="AA90" s="204"/>
      <c r="AB90" s="204"/>
      <c r="AC90" s="204"/>
      <c r="AD90" s="204"/>
      <c r="AE90" s="204"/>
      <c r="AF90" s="204"/>
      <c r="AG90" s="204"/>
      <c r="AH90" s="204"/>
      <c r="AI90" s="204"/>
      <c r="AJ90" t="s">
        <v>88</v>
      </c>
      <c r="AK90">
        <v>0</v>
      </c>
      <c r="AL90">
        <v>240</v>
      </c>
      <c r="AM90" s="37">
        <f>AK90/AK95</f>
        <v>0</v>
      </c>
    </row>
    <row r="91" spans="1:39" outlineLevel="1" x14ac:dyDescent="0.35">
      <c r="A91" s="259"/>
      <c r="B91" s="204"/>
      <c r="C91" s="259"/>
      <c r="D91" s="204"/>
      <c r="E91" s="260"/>
      <c r="F91" s="204"/>
      <c r="G91" s="204"/>
      <c r="H91" s="204"/>
      <c r="I91" s="204"/>
      <c r="J91" s="204"/>
      <c r="K91" s="204"/>
      <c r="L91" s="204"/>
      <c r="M91" s="204"/>
      <c r="N91" s="204"/>
      <c r="O91" t="s">
        <v>89</v>
      </c>
      <c r="P91" s="27">
        <v>0.2</v>
      </c>
      <c r="Q91" s="27">
        <v>9.9000000000000005E-2</v>
      </c>
      <c r="R91" s="38">
        <f>IF(R95="1.25m",P91/P95-SUM($K$8,$K$16)/P95,P91/P95)</f>
        <v>8.2500000000000004E-2</v>
      </c>
      <c r="S91" s="204"/>
      <c r="T91" s="204"/>
      <c r="U91" s="204"/>
      <c r="V91" t="s">
        <v>89</v>
      </c>
      <c r="W91" s="27">
        <v>0.04</v>
      </c>
      <c r="X91" s="27">
        <v>9.9000000000000005E-2</v>
      </c>
      <c r="Y91" s="38">
        <f>IF(Y95="1.25m",W91/W95-SUM($K$8,$K$16)/W95,W91/W95)</f>
        <v>1.2499999999999994E-3</v>
      </c>
      <c r="Z91" s="204"/>
      <c r="AA91" s="204"/>
      <c r="AB91" s="204"/>
      <c r="AC91" s="204"/>
      <c r="AD91" s="204"/>
      <c r="AE91" s="204"/>
      <c r="AF91" s="204"/>
      <c r="AG91" s="204"/>
      <c r="AH91" s="204"/>
      <c r="AI91" s="204"/>
      <c r="AJ91" t="s">
        <v>89</v>
      </c>
      <c r="AK91" s="27">
        <v>0.1</v>
      </c>
      <c r="AL91" s="27">
        <v>0.125</v>
      </c>
      <c r="AM91" s="38">
        <f>IF(AM95="1.25m",AK91/AK95-SUM($K$8,$K$16)/AK95,AK91/AK95)</f>
        <v>1.6250000000000001E-2</v>
      </c>
    </row>
    <row r="92" spans="1:39" outlineLevel="1" x14ac:dyDescent="0.35">
      <c r="A92" s="259"/>
      <c r="B92" s="204"/>
      <c r="C92" s="259"/>
      <c r="D92" s="204"/>
      <c r="E92" s="260"/>
      <c r="F92" s="204"/>
      <c r="G92" s="204"/>
      <c r="H92" s="204"/>
      <c r="I92" s="204"/>
      <c r="J92" s="204"/>
      <c r="K92" s="204"/>
      <c r="L92" s="204"/>
      <c r="M92" s="204"/>
      <c r="N92" s="204"/>
      <c r="O92" t="s">
        <v>74</v>
      </c>
      <c r="P92">
        <v>240</v>
      </c>
      <c r="Q92">
        <v>120</v>
      </c>
      <c r="R92" s="37">
        <f>P92/P95</f>
        <v>120</v>
      </c>
      <c r="S92" s="204"/>
      <c r="T92" s="204"/>
      <c r="U92" s="204"/>
      <c r="V92" t="s">
        <v>74</v>
      </c>
      <c r="W92" s="28">
        <v>450</v>
      </c>
      <c r="X92" s="28">
        <v>120</v>
      </c>
      <c r="Y92" s="37">
        <f>W92/W95</f>
        <v>112.5</v>
      </c>
      <c r="Z92" s="204"/>
      <c r="AA92" s="204"/>
      <c r="AB92" s="204"/>
      <c r="AC92" s="204"/>
      <c r="AD92" s="204"/>
      <c r="AE92" s="204"/>
      <c r="AF92" s="204"/>
      <c r="AG92" s="204"/>
      <c r="AH92" s="204"/>
      <c r="AI92" s="204"/>
      <c r="AJ92" t="s">
        <v>226</v>
      </c>
      <c r="AK92" s="28">
        <v>510</v>
      </c>
      <c r="AL92" s="28">
        <v>125</v>
      </c>
      <c r="AM92" s="37">
        <f>AK92/AK95</f>
        <v>127.5</v>
      </c>
    </row>
    <row r="93" spans="1:39" outlineLevel="1" x14ac:dyDescent="0.35">
      <c r="A93" s="259"/>
      <c r="B93" s="204"/>
      <c r="C93" s="259"/>
      <c r="D93" s="204"/>
      <c r="E93" s="260"/>
      <c r="F93" s="204"/>
      <c r="G93" s="204"/>
      <c r="H93" s="204"/>
      <c r="I93" s="204"/>
      <c r="J93" s="204"/>
      <c r="K93" s="204"/>
      <c r="L93" s="204"/>
      <c r="M93" s="204"/>
      <c r="N93" s="204"/>
      <c r="O93" s="29" t="s">
        <v>313</v>
      </c>
      <c r="P93" s="30">
        <f>P90-INDEX(CommunityResourcePack[unitCost],MATCH(O92,CommunityResourcePack[name],0))*P92</f>
        <v>300</v>
      </c>
      <c r="Q93" s="30">
        <f>Q90-INDEX(CommunityResourcePack[unitCost],MATCH(O92,CommunityResourcePack[name],0))*Q92</f>
        <v>150</v>
      </c>
      <c r="R93" s="30">
        <f>P93/P95</f>
        <v>150</v>
      </c>
      <c r="S93" s="204"/>
      <c r="T93" s="204"/>
      <c r="U93" s="204"/>
      <c r="V93" s="29" t="s">
        <v>313</v>
      </c>
      <c r="W93" s="30">
        <f>W90-INDEX(CommunityResourcePack[unitCost],MATCH(V92,CommunityResourcePack[name],0))*W92</f>
        <v>500</v>
      </c>
      <c r="X93" s="30">
        <f>X90-INDEX(CommunityResourcePack[unitCost],MATCH(V92,CommunityResourcePack[name],0))*X92</f>
        <v>150</v>
      </c>
      <c r="Y93" s="30">
        <f>W93/W95</f>
        <v>125</v>
      </c>
      <c r="Z93" s="204"/>
      <c r="AA93" s="204"/>
      <c r="AB93" s="204"/>
      <c r="AC93" s="204"/>
      <c r="AD93" s="204"/>
      <c r="AE93" s="204"/>
      <c r="AF93" s="204"/>
      <c r="AG93" s="204"/>
      <c r="AH93" s="204"/>
      <c r="AI93" s="204"/>
      <c r="AJ93" s="29" t="s">
        <v>313</v>
      </c>
      <c r="AK93" s="30">
        <f>AK90-INDEX(CommunityResourcePack[unitCost],MATCH(AJ92,CommunityResourcePack[name],0))*AK92</f>
        <v>0</v>
      </c>
      <c r="AL93" s="30">
        <f>AL90-INDEX(CommunityResourcePack[unitCost],MATCH(AJ92,CommunityResourcePack[name],0))*AL92</f>
        <v>240</v>
      </c>
      <c r="AM93" s="30">
        <f>AK93/AK95</f>
        <v>0</v>
      </c>
    </row>
    <row r="94" spans="1:39" outlineLevel="1" x14ac:dyDescent="0.35">
      <c r="A94" s="259"/>
      <c r="B94" s="204"/>
      <c r="C94" s="259"/>
      <c r="D94" s="204"/>
      <c r="E94" s="260"/>
      <c r="F94" s="204"/>
      <c r="G94" s="204"/>
      <c r="H94" s="204"/>
      <c r="I94" s="204"/>
      <c r="J94" s="204"/>
      <c r="K94" s="204"/>
      <c r="L94" s="204"/>
      <c r="M94" s="204"/>
      <c r="N94" s="204"/>
      <c r="O94" s="29" t="s">
        <v>314</v>
      </c>
      <c r="P94" s="31">
        <f>P91+INDEX(CommunityResourcePack[density],MATCH(O92,CommunityResourcePack[name],0))*P92</f>
        <v>0.38</v>
      </c>
      <c r="Q94" s="31">
        <f>Q91+INDEX(CommunityResourcePack[density],MATCH(O92,CommunityResourcePack[name],0))*Q92</f>
        <v>0.189</v>
      </c>
      <c r="R94" s="31">
        <f>IF(R95="1.25m",P94/P95-SUM($K$8,$K$16)/P95,P94/P95)</f>
        <v>0.17249999999999999</v>
      </c>
      <c r="S94" s="204"/>
      <c r="T94" s="204"/>
      <c r="U94" s="204"/>
      <c r="V94" s="29" t="s">
        <v>314</v>
      </c>
      <c r="W94" s="31">
        <f>W91+INDEX(CommunityResourcePack[density],MATCH(V92,CommunityResourcePack[name],0))*W92</f>
        <v>0.3775</v>
      </c>
      <c r="X94" s="31">
        <f>X91+INDEX(CommunityResourcePack[density],MATCH(V92,CommunityResourcePack[name],0))*X92</f>
        <v>0.189</v>
      </c>
      <c r="Y94" s="31">
        <f>IF(Y95="1.25m",W94/W95-SUM($K$8,$K$16)/W95,W94/W95)</f>
        <v>8.5625000000000007E-2</v>
      </c>
      <c r="Z94" s="204"/>
      <c r="AA94" s="204"/>
      <c r="AB94" s="204"/>
      <c r="AC94" s="204"/>
      <c r="AD94" s="204"/>
      <c r="AE94" s="204"/>
      <c r="AF94" s="204"/>
      <c r="AG94" s="204"/>
      <c r="AH94" s="204"/>
      <c r="AI94" s="204"/>
      <c r="AJ94" s="29" t="s">
        <v>314</v>
      </c>
      <c r="AK94" s="31">
        <f>AK91+INDEX(CommunityResourcePack[density],MATCH(AJ92,CommunityResourcePack[name],0))*AK92</f>
        <v>0.61</v>
      </c>
      <c r="AL94" s="31">
        <f>AL91+INDEX(CommunityResourcePack[density],MATCH(AJ92,CommunityResourcePack[name],0))*AL92</f>
        <v>0.25</v>
      </c>
      <c r="AM94" s="31">
        <f>IF(AM95="1.25m",AK94/AK95-SUM($K$8,$K$16)/AK95,AK94/AK95)</f>
        <v>0.14374999999999999</v>
      </c>
    </row>
    <row r="95" spans="1:39" outlineLevel="1" x14ac:dyDescent="0.35">
      <c r="A95" s="259"/>
      <c r="B95" s="204"/>
      <c r="C95" s="259"/>
      <c r="D95" s="204"/>
      <c r="E95" s="260"/>
      <c r="F95" s="204"/>
      <c r="G95" s="204"/>
      <c r="H95" s="204"/>
      <c r="I95" s="204"/>
      <c r="J95" s="204"/>
      <c r="K95" s="204"/>
      <c r="L95" s="204"/>
      <c r="M95" s="204"/>
      <c r="N95" s="204"/>
      <c r="O95" s="33" t="s">
        <v>303</v>
      </c>
      <c r="P95" s="2">
        <v>2</v>
      </c>
      <c r="Q95" s="34" t="s">
        <v>304</v>
      </c>
      <c r="R95" s="2" t="s">
        <v>46</v>
      </c>
      <c r="S95" s="204"/>
      <c r="T95" s="204"/>
      <c r="U95" s="204"/>
      <c r="V95" t="s">
        <v>303</v>
      </c>
      <c r="W95" s="2">
        <v>4</v>
      </c>
      <c r="X95" s="34" t="s">
        <v>304</v>
      </c>
      <c r="Y95" s="2" t="s">
        <v>46</v>
      </c>
      <c r="Z95" s="204"/>
      <c r="AA95" s="204"/>
      <c r="AB95" s="204"/>
      <c r="AC95" s="204"/>
      <c r="AD95" s="204"/>
      <c r="AE95" s="204"/>
      <c r="AF95" s="204"/>
      <c r="AG95" s="204"/>
      <c r="AH95" s="204"/>
      <c r="AI95" s="204"/>
      <c r="AJ95" t="s">
        <v>303</v>
      </c>
      <c r="AK95" s="2">
        <v>4</v>
      </c>
      <c r="AL95" s="34" t="s">
        <v>304</v>
      </c>
      <c r="AM95" s="2" t="s">
        <v>46</v>
      </c>
    </row>
    <row r="96" spans="1:39" outlineLevel="1" x14ac:dyDescent="0.35">
      <c r="A96" s="259"/>
      <c r="B96" s="204"/>
      <c r="C96" s="259"/>
      <c r="D96" s="204"/>
      <c r="E96" s="201"/>
      <c r="F96" s="204"/>
      <c r="G96" s="204"/>
      <c r="H96" s="204"/>
      <c r="I96" s="204"/>
      <c r="J96" s="204"/>
      <c r="K96" s="204"/>
      <c r="L96" s="204"/>
      <c r="M96" s="204"/>
      <c r="N96" s="204"/>
      <c r="O96" s="204"/>
      <c r="P96" s="204"/>
      <c r="Q96" s="204"/>
      <c r="R96" s="204"/>
      <c r="S96" s="204"/>
      <c r="T96" s="204"/>
      <c r="U96" s="204"/>
      <c r="V96" s="204"/>
      <c r="W96" s="204"/>
      <c r="X96" s="204"/>
      <c r="Y96" s="204"/>
      <c r="Z96" s="204"/>
      <c r="AA96" s="204"/>
      <c r="AB96" s="204"/>
      <c r="AC96" s="204"/>
      <c r="AD96" s="204"/>
      <c r="AE96" s="204"/>
      <c r="AF96" s="204"/>
      <c r="AG96" s="204"/>
      <c r="AH96" s="204"/>
      <c r="AI96" s="204"/>
      <c r="AJ96" s="204"/>
      <c r="AK96" s="204"/>
      <c r="AL96" s="204"/>
      <c r="AM96" s="204"/>
    </row>
    <row r="97" spans="1:39" ht="23.5" outlineLevel="1" x14ac:dyDescent="0.55000000000000004">
      <c r="A97" s="259"/>
      <c r="B97" s="204"/>
      <c r="C97" s="259"/>
      <c r="D97" s="204"/>
      <c r="E97" s="260" t="s">
        <v>333</v>
      </c>
      <c r="F97" s="204"/>
      <c r="G97" s="26" t="s">
        <v>25</v>
      </c>
      <c r="H97" s="204"/>
      <c r="I97" s="204"/>
      <c r="J97" s="204"/>
      <c r="K97" s="204"/>
      <c r="L97" s="204"/>
      <c r="M97" s="204"/>
      <c r="N97" s="88" t="s">
        <v>25</v>
      </c>
      <c r="O97" s="204"/>
      <c r="P97" s="204"/>
      <c r="Q97" s="204"/>
      <c r="R97" s="204"/>
      <c r="S97" s="204"/>
      <c r="T97" s="204"/>
      <c r="U97" s="88" t="s">
        <v>25</v>
      </c>
      <c r="V97" s="26"/>
      <c r="W97" s="26"/>
      <c r="X97" s="26"/>
      <c r="Y97" s="204"/>
      <c r="Z97" s="204"/>
      <c r="AA97" s="204"/>
      <c r="AB97" s="204"/>
      <c r="AC97" s="204"/>
      <c r="AD97" s="204"/>
      <c r="AE97" s="204"/>
      <c r="AF97" s="204"/>
      <c r="AG97" s="204"/>
      <c r="AH97" s="204"/>
      <c r="AI97" s="204"/>
      <c r="AJ97" s="204"/>
      <c r="AK97" s="204"/>
      <c r="AL97" s="204"/>
      <c r="AM97" s="204"/>
    </row>
    <row r="98" spans="1:39" outlineLevel="1" x14ac:dyDescent="0.35">
      <c r="A98" s="259"/>
      <c r="B98" s="204"/>
      <c r="C98" s="259"/>
      <c r="D98" s="204"/>
      <c r="E98" s="260"/>
      <c r="F98" s="204"/>
      <c r="G98" s="204" t="s">
        <v>334</v>
      </c>
      <c r="H98" s="204"/>
      <c r="I98" s="204"/>
      <c r="J98" s="204"/>
      <c r="K98" s="204"/>
      <c r="L98" s="204"/>
      <c r="M98" s="204"/>
      <c r="N98" s="204" t="s">
        <v>334</v>
      </c>
      <c r="O98" s="204"/>
      <c r="P98" s="204"/>
      <c r="Q98" s="204"/>
      <c r="R98" s="204"/>
      <c r="S98" s="204"/>
      <c r="T98" s="204"/>
      <c r="U98" s="204" t="s">
        <v>324</v>
      </c>
      <c r="V98" s="204"/>
      <c r="W98" s="204"/>
      <c r="X98" s="204"/>
      <c r="Y98" s="204"/>
      <c r="Z98" s="204"/>
      <c r="AA98" s="204"/>
      <c r="AB98" s="204"/>
      <c r="AC98" s="204"/>
      <c r="AD98" s="204"/>
      <c r="AE98" s="204"/>
      <c r="AF98" s="204"/>
      <c r="AG98" s="204"/>
      <c r="AH98" s="204"/>
      <c r="AI98" s="204"/>
      <c r="AJ98" s="204"/>
      <c r="AK98" s="204"/>
      <c r="AL98" s="204"/>
      <c r="AM98" s="204"/>
    </row>
    <row r="99" spans="1:39" outlineLevel="1" x14ac:dyDescent="0.35">
      <c r="A99" s="259"/>
      <c r="B99" s="204"/>
      <c r="C99" s="259"/>
      <c r="D99" s="204"/>
      <c r="E99" s="260"/>
      <c r="F99" s="204"/>
      <c r="G99" t="s">
        <v>333</v>
      </c>
      <c r="H99" s="204"/>
      <c r="I99" s="204"/>
      <c r="J99" s="204"/>
      <c r="K99" s="204"/>
      <c r="L99" s="204"/>
      <c r="M99" s="204"/>
      <c r="N99" t="s">
        <v>333</v>
      </c>
      <c r="O99" s="204"/>
      <c r="P99" s="204"/>
      <c r="Q99" s="204"/>
      <c r="R99" s="204"/>
      <c r="S99" s="204"/>
      <c r="T99" s="204"/>
      <c r="U99" t="s">
        <v>333</v>
      </c>
      <c r="V99" s="204"/>
      <c r="W99" s="204"/>
      <c r="X99" s="204"/>
      <c r="Y99" s="204"/>
      <c r="Z99" s="204"/>
      <c r="AA99" s="204"/>
      <c r="AB99" s="204"/>
      <c r="AC99" s="204"/>
      <c r="AD99" s="204"/>
      <c r="AE99" s="204"/>
      <c r="AF99" s="204"/>
      <c r="AG99" s="204"/>
      <c r="AH99" s="204"/>
      <c r="AI99" s="204"/>
      <c r="AJ99" s="204"/>
      <c r="AK99" s="204"/>
      <c r="AL99" s="204"/>
      <c r="AM99" s="204"/>
    </row>
    <row r="100" spans="1:39" outlineLevel="1" x14ac:dyDescent="0.35">
      <c r="A100" s="259"/>
      <c r="B100" s="204"/>
      <c r="C100" s="259"/>
      <c r="D100" s="204"/>
      <c r="E100" s="260"/>
      <c r="F100" s="204"/>
      <c r="G100" s="204"/>
      <c r="H100" t="s">
        <v>300</v>
      </c>
      <c r="I100" t="s">
        <v>105</v>
      </c>
      <c r="J100" t="s">
        <v>301</v>
      </c>
      <c r="K100" t="s">
        <v>302</v>
      </c>
      <c r="L100" s="204"/>
      <c r="M100" s="204"/>
      <c r="N100" s="204"/>
      <c r="O100" t="s">
        <v>300</v>
      </c>
      <c r="P100" t="s">
        <v>105</v>
      </c>
      <c r="Q100" t="s">
        <v>301</v>
      </c>
      <c r="R100" t="s">
        <v>302</v>
      </c>
      <c r="S100" s="204"/>
      <c r="T100" s="204"/>
      <c r="U100" s="204"/>
      <c r="V100" t="s">
        <v>300</v>
      </c>
      <c r="W100" t="s">
        <v>86</v>
      </c>
      <c r="X100" t="s">
        <v>301</v>
      </c>
      <c r="Y100" t="s">
        <v>302</v>
      </c>
      <c r="Z100" s="204"/>
      <c r="AA100" s="204"/>
      <c r="AB100" s="204"/>
      <c r="AC100" s="204"/>
      <c r="AD100" s="204"/>
      <c r="AE100" s="204"/>
      <c r="AF100" s="204"/>
      <c r="AG100" s="204"/>
      <c r="AH100" s="204"/>
      <c r="AI100" s="204"/>
      <c r="AJ100" s="204"/>
      <c r="AK100" s="204"/>
      <c r="AL100" s="204"/>
      <c r="AM100" s="204"/>
    </row>
    <row r="101" spans="1:39" outlineLevel="1" x14ac:dyDescent="0.35">
      <c r="A101" s="259"/>
      <c r="B101" s="204"/>
      <c r="C101" s="259"/>
      <c r="D101" s="204"/>
      <c r="E101" s="260"/>
      <c r="F101" s="204"/>
      <c r="G101" s="204"/>
      <c r="H101" t="s">
        <v>88</v>
      </c>
      <c r="I101">
        <v>300</v>
      </c>
      <c r="J101">
        <v>150</v>
      </c>
      <c r="K101" s="37">
        <f>I101/I106</f>
        <v>150</v>
      </c>
      <c r="L101" s="204"/>
      <c r="M101" s="204"/>
      <c r="N101" s="204"/>
      <c r="O101" t="s">
        <v>88</v>
      </c>
      <c r="P101">
        <v>300</v>
      </c>
      <c r="Q101">
        <v>150</v>
      </c>
      <c r="R101" s="37">
        <f>P101/P106</f>
        <v>150</v>
      </c>
      <c r="S101" s="204"/>
      <c r="T101" s="204"/>
      <c r="U101" s="204"/>
      <c r="V101" t="s">
        <v>88</v>
      </c>
      <c r="W101">
        <v>500</v>
      </c>
      <c r="X101">
        <v>150</v>
      </c>
      <c r="Y101" s="37">
        <f>W101/W106</f>
        <v>125</v>
      </c>
      <c r="Z101" s="204"/>
      <c r="AA101" s="204"/>
      <c r="AB101" s="204"/>
      <c r="AC101" s="204"/>
      <c r="AD101" s="204"/>
      <c r="AE101" s="204"/>
      <c r="AF101" s="204"/>
      <c r="AG101" s="204"/>
      <c r="AH101" s="204"/>
      <c r="AI101" s="204"/>
      <c r="AJ101" s="204"/>
      <c r="AK101" s="204"/>
      <c r="AL101" s="204"/>
      <c r="AM101" s="204"/>
    </row>
    <row r="102" spans="1:39" outlineLevel="1" x14ac:dyDescent="0.35">
      <c r="A102" s="259"/>
      <c r="B102" s="204"/>
      <c r="C102" s="259"/>
      <c r="D102" s="204"/>
      <c r="E102" s="260"/>
      <c r="F102" s="204"/>
      <c r="G102" s="204"/>
      <c r="H102" t="s">
        <v>89</v>
      </c>
      <c r="I102" s="27">
        <v>0.2</v>
      </c>
      <c r="J102" s="27">
        <v>9.9000000000000005E-2</v>
      </c>
      <c r="K102" s="38">
        <f>IF(K106="1.25m",I102/I106-SUM($K$8,$K$16)/I106,I102/I106)</f>
        <v>8.2500000000000004E-2</v>
      </c>
      <c r="L102" s="204"/>
      <c r="M102" s="204"/>
      <c r="N102" s="204"/>
      <c r="O102" t="s">
        <v>89</v>
      </c>
      <c r="P102" s="27">
        <v>0.2</v>
      </c>
      <c r="Q102" s="27">
        <v>9.9000000000000005E-2</v>
      </c>
      <c r="R102" s="38">
        <f>IF(R106="1.25m",P102/P106-SUM($K$8,$K$16)/P106,P102/P106)</f>
        <v>8.2500000000000004E-2</v>
      </c>
      <c r="S102" s="204"/>
      <c r="T102" s="204"/>
      <c r="U102" s="204"/>
      <c r="V102" t="s">
        <v>89</v>
      </c>
      <c r="W102" s="27">
        <v>0.04</v>
      </c>
      <c r="X102" s="27">
        <v>9.9000000000000005E-2</v>
      </c>
      <c r="Y102" s="38">
        <f>IF(Y106="1.25m",W102/W106-SUM($K$8,$K$16)/W106,W102/W106)</f>
        <v>1.2499999999999994E-3</v>
      </c>
      <c r="Z102" s="204"/>
      <c r="AA102" s="204"/>
      <c r="AB102" s="204"/>
      <c r="AC102" s="204"/>
      <c r="AD102" s="204"/>
      <c r="AE102" s="204"/>
      <c r="AF102" s="204"/>
      <c r="AG102" s="204"/>
      <c r="AH102" s="204"/>
      <c r="AI102" s="204"/>
      <c r="AJ102" s="204"/>
      <c r="AK102" s="204"/>
      <c r="AL102" s="204"/>
      <c r="AM102" s="204"/>
    </row>
    <row r="103" spans="1:39" outlineLevel="1" x14ac:dyDescent="0.35">
      <c r="A103" s="259"/>
      <c r="B103" s="204"/>
      <c r="C103" s="259"/>
      <c r="D103" s="204"/>
      <c r="E103" s="260"/>
      <c r="F103" s="204"/>
      <c r="G103" s="204"/>
      <c r="H103" t="s">
        <v>25</v>
      </c>
      <c r="I103">
        <v>240</v>
      </c>
      <c r="J103">
        <v>120</v>
      </c>
      <c r="K103" s="37">
        <f>I103/I106</f>
        <v>120</v>
      </c>
      <c r="L103" s="204"/>
      <c r="M103" s="204"/>
      <c r="N103" s="204"/>
      <c r="O103" t="s">
        <v>25</v>
      </c>
      <c r="P103">
        <v>240</v>
      </c>
      <c r="Q103">
        <v>120</v>
      </c>
      <c r="R103" s="37">
        <f>P103/P106</f>
        <v>120</v>
      </c>
      <c r="S103" s="204"/>
      <c r="T103" s="204"/>
      <c r="U103" s="204"/>
      <c r="V103" t="s">
        <v>25</v>
      </c>
      <c r="W103" s="28">
        <v>450</v>
      </c>
      <c r="X103" s="28">
        <v>120</v>
      </c>
      <c r="Y103" s="37">
        <f>W103/W106</f>
        <v>112.5</v>
      </c>
      <c r="Z103" s="204"/>
      <c r="AA103" s="204"/>
      <c r="AB103" s="204"/>
      <c r="AC103" s="204"/>
      <c r="AD103" s="204"/>
      <c r="AE103" s="204"/>
      <c r="AF103" s="204"/>
      <c r="AG103" s="204"/>
      <c r="AH103" s="204"/>
      <c r="AI103" s="204"/>
      <c r="AJ103" s="204"/>
      <c r="AK103" s="204"/>
      <c r="AL103" s="204"/>
      <c r="AM103" s="204"/>
    </row>
    <row r="104" spans="1:39" outlineLevel="1" x14ac:dyDescent="0.35">
      <c r="A104" s="259"/>
      <c r="B104" s="204"/>
      <c r="C104" s="259"/>
      <c r="D104" s="204"/>
      <c r="E104" s="260"/>
      <c r="F104" s="204"/>
      <c r="G104" s="204"/>
      <c r="H104" s="29" t="s">
        <v>313</v>
      </c>
      <c r="I104" s="30">
        <f>I101-INDEX(CommunityResourcePack[unitCost],MATCH(H103,CommunityResourcePack[name],0))*I103</f>
        <v>299.80799999999999</v>
      </c>
      <c r="J104" s="30">
        <f>J101-INDEX(CommunityResourcePack[unitCost],MATCH(H103,CommunityResourcePack[name],0))*J103</f>
        <v>149.904</v>
      </c>
      <c r="K104" s="30">
        <f>I104/I106</f>
        <v>149.904</v>
      </c>
      <c r="L104" s="204"/>
      <c r="M104" s="204"/>
      <c r="N104" s="204"/>
      <c r="O104" s="29" t="s">
        <v>313</v>
      </c>
      <c r="P104" s="30">
        <f>P101-INDEX(CommunityResourcePack[unitCost],MATCH(O103,CommunityResourcePack[name],0))*P103</f>
        <v>299.80799999999999</v>
      </c>
      <c r="Q104" s="30">
        <f>Q101-INDEX(CommunityResourcePack[unitCost],MATCH(O103,CommunityResourcePack[name],0))*Q103</f>
        <v>149.904</v>
      </c>
      <c r="R104" s="30">
        <f>P104/P106</f>
        <v>149.904</v>
      </c>
      <c r="S104" s="204"/>
      <c r="T104" s="204"/>
      <c r="U104" s="204"/>
      <c r="V104" s="29" t="s">
        <v>313</v>
      </c>
      <c r="W104" s="30">
        <f>W101-INDEX(CommunityResourcePack[unitCost],MATCH(V103,CommunityResourcePack[name],0))*W103</f>
        <v>499.64</v>
      </c>
      <c r="X104" s="30">
        <f>X101-INDEX(CommunityResourcePack[unitCost],MATCH(V103,CommunityResourcePack[name],0))*X103</f>
        <v>149.904</v>
      </c>
      <c r="Y104" s="30">
        <f>W104/W106</f>
        <v>124.91</v>
      </c>
      <c r="Z104" s="204"/>
      <c r="AA104" s="204"/>
      <c r="AB104" s="204"/>
      <c r="AC104" s="204"/>
      <c r="AD104" s="204"/>
      <c r="AE104" s="204"/>
      <c r="AF104" s="204"/>
      <c r="AG104" s="204"/>
      <c r="AH104" s="204"/>
      <c r="AI104" s="204"/>
      <c r="AJ104" s="204"/>
      <c r="AK104" s="204"/>
      <c r="AL104" s="204"/>
      <c r="AM104" s="204"/>
    </row>
    <row r="105" spans="1:39" outlineLevel="1" x14ac:dyDescent="0.35">
      <c r="A105" s="259"/>
      <c r="B105" s="204"/>
      <c r="C105" s="259"/>
      <c r="D105" s="204"/>
      <c r="E105" s="260"/>
      <c r="F105" s="204"/>
      <c r="G105" s="204"/>
      <c r="H105" s="29" t="s">
        <v>314</v>
      </c>
      <c r="I105" s="31">
        <f>I102+INDEX(CommunityResourcePack[density],MATCH(H103,CommunityResourcePack[name],0))*I103</f>
        <v>0.44</v>
      </c>
      <c r="J105" s="31">
        <f>J102+INDEX(CommunityResourcePack[density],MATCH(H103,CommunityResourcePack[name],0))*J103</f>
        <v>0.219</v>
      </c>
      <c r="K105" s="31">
        <f>IF(K106="1.25m",I105/I106-SUM($K$8,$K$16)/I106,I105/I106)</f>
        <v>0.20250000000000001</v>
      </c>
      <c r="L105" s="204"/>
      <c r="M105" s="204"/>
      <c r="N105" s="204"/>
      <c r="O105" s="29" t="s">
        <v>314</v>
      </c>
      <c r="P105" s="31">
        <f>P102+INDEX(CommunityResourcePack[density],MATCH(O103,CommunityResourcePack[name],0))*P103</f>
        <v>0.44</v>
      </c>
      <c r="Q105" s="31">
        <f>Q102+INDEX(CommunityResourcePack[density],MATCH(O103,CommunityResourcePack[name],0))*Q103</f>
        <v>0.219</v>
      </c>
      <c r="R105" s="31">
        <f>IF(R106="1.25m",P105/P106-SUM($K$8,$K$16)/P106,P105/P106)</f>
        <v>0.20250000000000001</v>
      </c>
      <c r="S105" s="204"/>
      <c r="T105" s="204"/>
      <c r="U105" s="204"/>
      <c r="V105" s="29" t="s">
        <v>314</v>
      </c>
      <c r="W105" s="31">
        <f>W102+INDEX(CommunityResourcePack[density],MATCH(V103,CommunityResourcePack[name],0))*W103</f>
        <v>0.49</v>
      </c>
      <c r="X105" s="31">
        <f>X102+INDEX(CommunityResourcePack[density],MATCH(V103,CommunityResourcePack[name],0))*X103</f>
        <v>0.219</v>
      </c>
      <c r="Y105" s="31">
        <f>IF(Y106="1.25m",W105/W106-SUM($K$8,$K$16)/W106,W105/W106)</f>
        <v>0.11374999999999999</v>
      </c>
      <c r="Z105" s="204"/>
      <c r="AA105" s="204"/>
      <c r="AB105" s="204"/>
      <c r="AC105" s="204"/>
      <c r="AD105" s="204"/>
      <c r="AE105" s="204"/>
      <c r="AF105" s="204"/>
      <c r="AG105" s="204"/>
      <c r="AH105" s="204"/>
      <c r="AI105" s="204"/>
      <c r="AJ105" s="204"/>
      <c r="AK105" s="204"/>
      <c r="AL105" s="204"/>
      <c r="AM105" s="204"/>
    </row>
    <row r="106" spans="1:39" outlineLevel="1" x14ac:dyDescent="0.35">
      <c r="A106" s="259"/>
      <c r="B106" s="204"/>
      <c r="C106" s="259"/>
      <c r="D106" s="204"/>
      <c r="E106" s="260"/>
      <c r="F106" s="204"/>
      <c r="G106" s="204"/>
      <c r="H106" s="33" t="s">
        <v>303</v>
      </c>
      <c r="I106" s="2">
        <v>2</v>
      </c>
      <c r="J106" s="34" t="s">
        <v>304</v>
      </c>
      <c r="K106" s="2" t="s">
        <v>46</v>
      </c>
      <c r="L106" s="204"/>
      <c r="M106" s="204"/>
      <c r="N106" s="204"/>
      <c r="O106" s="33" t="s">
        <v>303</v>
      </c>
      <c r="P106" s="2">
        <v>2</v>
      </c>
      <c r="Q106" s="34" t="s">
        <v>304</v>
      </c>
      <c r="R106" s="2" t="s">
        <v>46</v>
      </c>
      <c r="S106" s="204"/>
      <c r="T106" s="204"/>
      <c r="U106" s="204"/>
      <c r="V106" t="s">
        <v>303</v>
      </c>
      <c r="W106" s="2">
        <v>4</v>
      </c>
      <c r="X106" s="34" t="s">
        <v>304</v>
      </c>
      <c r="Y106" s="2" t="s">
        <v>46</v>
      </c>
      <c r="Z106" s="204"/>
      <c r="AA106" s="204"/>
      <c r="AB106" s="204"/>
      <c r="AC106" s="204"/>
      <c r="AD106" s="204"/>
      <c r="AE106" s="204"/>
      <c r="AF106" s="204"/>
      <c r="AG106" s="204"/>
      <c r="AH106" s="204"/>
      <c r="AI106" s="204"/>
      <c r="AJ106" s="204"/>
      <c r="AK106" s="204"/>
      <c r="AL106" s="204"/>
      <c r="AM106" s="204"/>
    </row>
    <row r="107" spans="1:39" outlineLevel="1" x14ac:dyDescent="0.35">
      <c r="A107" s="259"/>
      <c r="B107" s="204"/>
      <c r="C107" s="259"/>
      <c r="D107" s="204"/>
      <c r="E107" s="201"/>
      <c r="F107" s="204"/>
      <c r="G107" s="204"/>
      <c r="H107" s="204"/>
      <c r="I107" s="204"/>
      <c r="J107" s="204"/>
      <c r="K107" s="204"/>
      <c r="L107" s="204"/>
      <c r="M107" s="204"/>
      <c r="N107" s="204"/>
      <c r="O107" s="204"/>
      <c r="P107" s="204"/>
      <c r="Q107" s="204"/>
      <c r="R107" s="204"/>
      <c r="S107" s="204"/>
      <c r="T107" s="204"/>
      <c r="U107" s="204"/>
      <c r="V107" s="204"/>
      <c r="W107" s="204"/>
      <c r="X107" s="204"/>
      <c r="Y107" s="204"/>
      <c r="Z107" s="204"/>
      <c r="AA107" s="204"/>
      <c r="AB107" s="204"/>
      <c r="AC107" s="204"/>
      <c r="AD107" s="204"/>
      <c r="AE107" s="204"/>
      <c r="AF107" s="204"/>
      <c r="AG107" s="204"/>
      <c r="AH107" s="204"/>
      <c r="AI107" s="204"/>
      <c r="AJ107" s="204"/>
      <c r="AK107" s="204"/>
      <c r="AL107" s="204"/>
      <c r="AM107" s="204"/>
    </row>
    <row r="108" spans="1:39" ht="23.5" outlineLevel="1" x14ac:dyDescent="0.55000000000000004">
      <c r="A108" s="259"/>
      <c r="B108" s="204"/>
      <c r="C108" s="259"/>
      <c r="D108" s="204"/>
      <c r="E108" s="260" t="s">
        <v>335</v>
      </c>
      <c r="F108" s="204"/>
      <c r="G108" s="204"/>
      <c r="H108" s="204"/>
      <c r="I108" s="204"/>
      <c r="J108" s="204"/>
      <c r="K108" s="204"/>
      <c r="L108" s="204"/>
      <c r="M108" s="204"/>
      <c r="N108" s="88" t="s">
        <v>75</v>
      </c>
      <c r="O108" s="204"/>
      <c r="P108" s="204"/>
      <c r="Q108" s="204"/>
      <c r="R108" s="204"/>
      <c r="S108" s="204"/>
      <c r="T108" s="204"/>
      <c r="U108" s="88" t="s">
        <v>75</v>
      </c>
      <c r="V108" s="26"/>
      <c r="W108" s="26"/>
      <c r="X108" s="26"/>
      <c r="Y108" s="204"/>
      <c r="Z108" s="204"/>
      <c r="AA108" s="204"/>
      <c r="AB108" s="204"/>
      <c r="AC108" s="204"/>
      <c r="AD108" s="204"/>
      <c r="AE108" s="204"/>
      <c r="AF108" s="204"/>
      <c r="AG108" s="204"/>
      <c r="AH108" s="204"/>
      <c r="AI108" s="88" t="s">
        <v>156</v>
      </c>
      <c r="AJ108" s="26"/>
      <c r="AK108" s="26"/>
      <c r="AL108" s="26"/>
      <c r="AM108" s="204"/>
    </row>
    <row r="109" spans="1:39" outlineLevel="1" x14ac:dyDescent="0.35">
      <c r="A109" s="259"/>
      <c r="B109" s="204"/>
      <c r="C109" s="259"/>
      <c r="D109" s="204"/>
      <c r="E109" s="260"/>
      <c r="F109" s="204"/>
      <c r="G109" s="204"/>
      <c r="H109" s="204"/>
      <c r="I109" s="204"/>
      <c r="J109" s="204"/>
      <c r="K109" s="204"/>
      <c r="L109" s="204"/>
      <c r="M109" s="204"/>
      <c r="N109" s="204" t="s">
        <v>334</v>
      </c>
      <c r="O109" s="204"/>
      <c r="P109" s="204"/>
      <c r="Q109" s="204"/>
      <c r="R109" s="204"/>
      <c r="S109" s="204"/>
      <c r="T109" s="204"/>
      <c r="U109" s="204" t="s">
        <v>324</v>
      </c>
      <c r="V109" s="204"/>
      <c r="W109" s="204"/>
      <c r="X109" s="204"/>
      <c r="Y109" s="204"/>
      <c r="Z109" s="204"/>
      <c r="AA109" s="204"/>
      <c r="AB109" s="204"/>
      <c r="AC109" s="204"/>
      <c r="AD109" s="204"/>
      <c r="AE109" s="204"/>
      <c r="AF109" s="204"/>
      <c r="AG109" s="204"/>
      <c r="AH109" s="204"/>
      <c r="AI109" s="204" t="s">
        <v>336</v>
      </c>
      <c r="AJ109" s="204"/>
      <c r="AK109" s="204"/>
      <c r="AL109" s="204"/>
      <c r="AM109" s="204"/>
    </row>
    <row r="110" spans="1:39" outlineLevel="1" x14ac:dyDescent="0.35">
      <c r="A110" s="259"/>
      <c r="B110" s="204"/>
      <c r="C110" s="259"/>
      <c r="D110" s="204"/>
      <c r="E110" s="260"/>
      <c r="F110" s="204"/>
      <c r="G110" s="204"/>
      <c r="H110" s="204"/>
      <c r="I110" s="204"/>
      <c r="J110" s="204"/>
      <c r="K110" s="204"/>
      <c r="L110" s="204"/>
      <c r="M110" s="204"/>
      <c r="N110" t="s">
        <v>335</v>
      </c>
      <c r="O110" s="204"/>
      <c r="P110" s="204"/>
      <c r="Q110" s="204"/>
      <c r="R110" s="204"/>
      <c r="S110" s="204"/>
      <c r="T110" s="204"/>
      <c r="U110" t="s">
        <v>335</v>
      </c>
      <c r="V110" s="204"/>
      <c r="W110" s="204"/>
      <c r="X110" s="204"/>
      <c r="Y110" s="204"/>
      <c r="Z110" s="204"/>
      <c r="AA110" s="204"/>
      <c r="AB110" s="204"/>
      <c r="AC110" s="204"/>
      <c r="AD110" s="204"/>
      <c r="AE110" s="204"/>
      <c r="AF110" s="204"/>
      <c r="AG110" s="204"/>
      <c r="AH110" s="204"/>
      <c r="AI110" t="s">
        <v>337</v>
      </c>
      <c r="AJ110" s="204"/>
      <c r="AK110" s="204"/>
      <c r="AL110" s="204"/>
      <c r="AM110" s="204"/>
    </row>
    <row r="111" spans="1:39" outlineLevel="1" x14ac:dyDescent="0.35">
      <c r="A111" s="259"/>
      <c r="B111" s="204"/>
      <c r="C111" s="259"/>
      <c r="D111" s="204"/>
      <c r="E111" s="260"/>
      <c r="F111" s="204"/>
      <c r="G111" s="204"/>
      <c r="H111" s="204"/>
      <c r="I111" s="204"/>
      <c r="J111" s="204"/>
      <c r="K111" s="204"/>
      <c r="L111" s="204"/>
      <c r="M111" s="204"/>
      <c r="N111" s="204"/>
      <c r="O111" t="s">
        <v>300</v>
      </c>
      <c r="P111" t="s">
        <v>105</v>
      </c>
      <c r="Q111" t="s">
        <v>301</v>
      </c>
      <c r="R111" t="s">
        <v>302</v>
      </c>
      <c r="S111" s="204"/>
      <c r="T111" s="204"/>
      <c r="U111" s="204"/>
      <c r="V111" t="s">
        <v>300</v>
      </c>
      <c r="W111" t="s">
        <v>86</v>
      </c>
      <c r="X111" t="s">
        <v>301</v>
      </c>
      <c r="Y111" t="s">
        <v>302</v>
      </c>
      <c r="Z111" s="204"/>
      <c r="AA111" s="204"/>
      <c r="AB111" s="204"/>
      <c r="AC111" s="204"/>
      <c r="AD111" s="204"/>
      <c r="AE111" s="204"/>
      <c r="AF111" s="204"/>
      <c r="AG111" s="204"/>
      <c r="AH111" s="204"/>
      <c r="AI111" s="204"/>
      <c r="AJ111" t="s">
        <v>300</v>
      </c>
      <c r="AK111" t="s">
        <v>329</v>
      </c>
      <c r="AL111" t="s">
        <v>301</v>
      </c>
      <c r="AM111" t="s">
        <v>302</v>
      </c>
    </row>
    <row r="112" spans="1:39" outlineLevel="1" x14ac:dyDescent="0.35">
      <c r="A112" s="259"/>
      <c r="B112" s="204"/>
      <c r="C112" s="259"/>
      <c r="D112" s="204"/>
      <c r="E112" s="260"/>
      <c r="F112" s="204"/>
      <c r="G112" s="204"/>
      <c r="H112" s="204"/>
      <c r="I112" s="204"/>
      <c r="J112" s="204"/>
      <c r="K112" s="204"/>
      <c r="L112" s="204"/>
      <c r="M112" s="204"/>
      <c r="N112" s="204"/>
      <c r="O112" t="s">
        <v>88</v>
      </c>
      <c r="P112">
        <v>300</v>
      </c>
      <c r="Q112">
        <v>150</v>
      </c>
      <c r="R112" s="37">
        <f>P112/P117</f>
        <v>150</v>
      </c>
      <c r="S112" s="204"/>
      <c r="T112" s="204"/>
      <c r="U112" s="204"/>
      <c r="V112" t="s">
        <v>88</v>
      </c>
      <c r="W112">
        <v>500</v>
      </c>
      <c r="X112">
        <v>150</v>
      </c>
      <c r="Y112" s="37">
        <f>W112/W117</f>
        <v>125</v>
      </c>
      <c r="Z112" s="204"/>
      <c r="AA112" s="204"/>
      <c r="AB112" s="204"/>
      <c r="AC112" s="204"/>
      <c r="AD112" s="204"/>
      <c r="AE112" s="204"/>
      <c r="AF112" s="204"/>
      <c r="AG112" s="204"/>
      <c r="AH112" s="204"/>
      <c r="AI112" s="204"/>
      <c r="AJ112" t="s">
        <v>88</v>
      </c>
      <c r="AK112">
        <v>1000</v>
      </c>
      <c r="AL112">
        <v>240</v>
      </c>
      <c r="AM112" s="37">
        <f>AK112/AK117</f>
        <v>250</v>
      </c>
    </row>
    <row r="113" spans="1:39" outlineLevel="1" x14ac:dyDescent="0.35">
      <c r="A113" s="259"/>
      <c r="B113" s="204"/>
      <c r="C113" s="259"/>
      <c r="D113" s="204"/>
      <c r="E113" s="260"/>
      <c r="F113" s="204"/>
      <c r="G113" s="204"/>
      <c r="H113" s="204"/>
      <c r="I113" s="204"/>
      <c r="J113" s="204"/>
      <c r="K113" s="204"/>
      <c r="L113" s="204"/>
      <c r="M113" s="204"/>
      <c r="N113" s="204"/>
      <c r="O113" t="s">
        <v>89</v>
      </c>
      <c r="P113" s="27">
        <v>0.2</v>
      </c>
      <c r="Q113" s="27">
        <v>9.9000000000000005E-2</v>
      </c>
      <c r="R113" s="38">
        <f>IF(R117="1.25m",P113/P117-SUM($K$8,$K$16)/P117,P113/P117)</f>
        <v>8.2500000000000004E-2</v>
      </c>
      <c r="S113" s="204"/>
      <c r="T113" s="204"/>
      <c r="U113" s="204"/>
      <c r="V113" t="s">
        <v>89</v>
      </c>
      <c r="W113" s="27">
        <v>0.04</v>
      </c>
      <c r="X113" s="27">
        <v>9.9000000000000005E-2</v>
      </c>
      <c r="Y113" s="38">
        <f>IF(Y117="1.25m",W113/W117-SUM($K$8,$K$16)/W117,W113/W117)</f>
        <v>1.2499999999999994E-3</v>
      </c>
      <c r="Z113" s="204"/>
      <c r="AA113" s="204"/>
      <c r="AB113" s="204"/>
      <c r="AC113" s="204"/>
      <c r="AD113" s="204"/>
      <c r="AE113" s="204"/>
      <c r="AF113" s="204"/>
      <c r="AG113" s="204"/>
      <c r="AH113" s="204"/>
      <c r="AI113" s="204"/>
      <c r="AJ113" t="s">
        <v>89</v>
      </c>
      <c r="AK113" s="27">
        <v>0.1</v>
      </c>
      <c r="AL113" s="27">
        <v>0.125</v>
      </c>
      <c r="AM113" s="38">
        <f>IF(AM117="1.25m",AK113/AK117-SUM($K$8,$K$16)/AK117,AK113/AK117)</f>
        <v>1.6250000000000001E-2</v>
      </c>
    </row>
    <row r="114" spans="1:39" outlineLevel="1" x14ac:dyDescent="0.35">
      <c r="A114" s="259"/>
      <c r="B114" s="204"/>
      <c r="C114" s="259"/>
      <c r="D114" s="204"/>
      <c r="E114" s="260"/>
      <c r="F114" s="204"/>
      <c r="G114" s="204"/>
      <c r="H114" s="204"/>
      <c r="I114" s="204"/>
      <c r="J114" s="204"/>
      <c r="K114" s="204"/>
      <c r="L114" s="204"/>
      <c r="M114" s="204"/>
      <c r="N114" s="204"/>
      <c r="O114" t="s">
        <v>278</v>
      </c>
      <c r="P114">
        <v>240</v>
      </c>
      <c r="Q114">
        <v>120</v>
      </c>
      <c r="R114" s="37">
        <f>P114/P117</f>
        <v>120</v>
      </c>
      <c r="S114" s="204"/>
      <c r="T114" s="204"/>
      <c r="U114" s="204"/>
      <c r="V114" t="s">
        <v>278</v>
      </c>
      <c r="W114" s="28">
        <v>450</v>
      </c>
      <c r="X114" s="28">
        <v>120</v>
      </c>
      <c r="Y114" s="37">
        <f>W114/W117</f>
        <v>112.5</v>
      </c>
      <c r="Z114" s="204"/>
      <c r="AA114" s="204"/>
      <c r="AB114" s="204"/>
      <c r="AC114" s="204"/>
      <c r="AD114" s="204"/>
      <c r="AE114" s="204"/>
      <c r="AF114" s="204"/>
      <c r="AG114" s="204"/>
      <c r="AH114" s="204"/>
      <c r="AI114" s="204"/>
      <c r="AJ114" t="s">
        <v>156</v>
      </c>
      <c r="AK114" s="28">
        <v>500</v>
      </c>
      <c r="AL114" s="28">
        <v>125</v>
      </c>
      <c r="AM114" s="37">
        <v>128</v>
      </c>
    </row>
    <row r="115" spans="1:39" outlineLevel="1" x14ac:dyDescent="0.35">
      <c r="A115" s="259"/>
      <c r="B115" s="204"/>
      <c r="C115" s="259"/>
      <c r="D115" s="204"/>
      <c r="E115" s="260"/>
      <c r="F115" s="204"/>
      <c r="G115" s="204"/>
      <c r="H115" s="204"/>
      <c r="I115" s="204"/>
      <c r="J115" s="204"/>
      <c r="K115" s="204"/>
      <c r="L115" s="204"/>
      <c r="M115" s="204"/>
      <c r="N115" s="204"/>
      <c r="O115" s="29" t="s">
        <v>313</v>
      </c>
      <c r="P115" s="30">
        <f>P112-INDEX(CommunityResourcePack[unitCost],MATCH(O114,CommunityResourcePack[name],0))*P114</f>
        <v>300</v>
      </c>
      <c r="Q115" s="30">
        <f>Q112-INDEX(CommunityResourcePack[unitCost],MATCH(O114,CommunityResourcePack[name],0))*Q114</f>
        <v>150</v>
      </c>
      <c r="R115" s="30">
        <f>P115/P117</f>
        <v>150</v>
      </c>
      <c r="S115" s="204"/>
      <c r="T115" s="204"/>
      <c r="U115" s="204"/>
      <c r="V115" s="29" t="s">
        <v>313</v>
      </c>
      <c r="W115" s="30">
        <f>W112-INDEX(CommunityResourcePack[unitCost],MATCH(V114,CommunityResourcePack[name],0))*W114</f>
        <v>500</v>
      </c>
      <c r="X115" s="30">
        <f>X112-INDEX(CommunityResourcePack[unitCost],MATCH(V114,CommunityResourcePack[name],0))*X114</f>
        <v>150</v>
      </c>
      <c r="Y115" s="30">
        <f>W115/W117</f>
        <v>125</v>
      </c>
      <c r="Z115" s="204"/>
      <c r="AA115" s="204"/>
      <c r="AB115" s="204"/>
      <c r="AC115" s="204"/>
      <c r="AD115" s="204"/>
      <c r="AE115" s="204"/>
      <c r="AF115" s="204"/>
      <c r="AG115" s="204"/>
      <c r="AH115" s="204"/>
      <c r="AI115" s="204"/>
      <c r="AJ115" s="29" t="s">
        <v>313</v>
      </c>
      <c r="AK115" s="30">
        <f>AK112-INDEX(CommunityResourcePack[unitCost],MATCH(AJ114,CommunityResourcePack[name],0))*AK114</f>
        <v>0</v>
      </c>
      <c r="AL115" s="30">
        <f>AL112-INDEX(CommunityResourcePack[unitCost],MATCH(AJ114,CommunityResourcePack[name],0))*AL114</f>
        <v>-10</v>
      </c>
      <c r="AM115" s="30">
        <f>AK115/AK117</f>
        <v>0</v>
      </c>
    </row>
    <row r="116" spans="1:39" outlineLevel="1" x14ac:dyDescent="0.35">
      <c r="A116" s="259"/>
      <c r="B116" s="204"/>
      <c r="C116" s="259"/>
      <c r="D116" s="204"/>
      <c r="E116" s="260"/>
      <c r="F116" s="204"/>
      <c r="G116" s="204"/>
      <c r="H116" s="204"/>
      <c r="I116" s="204"/>
      <c r="J116" s="204"/>
      <c r="K116" s="204"/>
      <c r="L116" s="204"/>
      <c r="M116" s="204"/>
      <c r="N116" s="204"/>
      <c r="O116" s="29" t="s">
        <v>314</v>
      </c>
      <c r="P116" s="31">
        <f>P113+INDEX(CommunityResourcePack[density],MATCH(O114,CommunityResourcePack[name],0))*P114</f>
        <v>0.44120000000000004</v>
      </c>
      <c r="Q116" s="31">
        <f>Q113+INDEX(CommunityResourcePack[density],MATCH(O114,CommunityResourcePack[name],0))*Q114</f>
        <v>0.21960000000000002</v>
      </c>
      <c r="R116" s="31">
        <f>IF(R117="1.25m",P116/P117-SUM($K$8,$K$16)/P117,P116/P117)</f>
        <v>0.2031</v>
      </c>
      <c r="S116" s="204"/>
      <c r="T116" s="204"/>
      <c r="U116" s="204"/>
      <c r="V116" s="29" t="s">
        <v>314</v>
      </c>
      <c r="W116" s="31">
        <f>W113+INDEX(CommunityResourcePack[density],MATCH(V114,CommunityResourcePack[name],0))*W114</f>
        <v>0.49225000000000002</v>
      </c>
      <c r="X116" s="31">
        <f>X113+INDEX(CommunityResourcePack[density],MATCH(V114,CommunityResourcePack[name],0))*X114</f>
        <v>0.21960000000000002</v>
      </c>
      <c r="Y116" s="31">
        <f>IF(Y117="1.25m",W116/W117-SUM($K$8,$K$16)/W117,W116/W117)</f>
        <v>0.11431250000000001</v>
      </c>
      <c r="Z116" s="204"/>
      <c r="AA116" s="204"/>
      <c r="AB116" s="204"/>
      <c r="AC116" s="204"/>
      <c r="AD116" s="204"/>
      <c r="AE116" s="204"/>
      <c r="AF116" s="204"/>
      <c r="AG116" s="204"/>
      <c r="AH116" s="204"/>
      <c r="AI116" s="204"/>
      <c r="AJ116" s="29" t="s">
        <v>314</v>
      </c>
      <c r="AK116" s="31">
        <f>AK113+INDEX(CommunityResourcePack[density],MATCH(AJ114,CommunityResourcePack[name],0))*AK114</f>
        <v>0.6</v>
      </c>
      <c r="AL116" s="31">
        <f>AL113+INDEX(CommunityResourcePack[density],MATCH(AJ114,CommunityResourcePack[name],0))*AL114</f>
        <v>0.25</v>
      </c>
      <c r="AM116" s="31">
        <f>IF(AM117="1.25m",AK116/AK117-SUM($K$8,$K$16)/AK117,AK116/AK117)</f>
        <v>0.14124999999999999</v>
      </c>
    </row>
    <row r="117" spans="1:39" outlineLevel="1" x14ac:dyDescent="0.35">
      <c r="A117" s="259"/>
      <c r="B117" s="204"/>
      <c r="C117" s="259"/>
      <c r="D117" s="204"/>
      <c r="E117" s="260"/>
      <c r="F117" s="204"/>
      <c r="G117" s="204"/>
      <c r="H117" s="204"/>
      <c r="I117" s="204"/>
      <c r="J117" s="204"/>
      <c r="K117" s="204"/>
      <c r="L117" s="204"/>
      <c r="M117" s="204"/>
      <c r="N117" s="204"/>
      <c r="O117" s="33" t="s">
        <v>303</v>
      </c>
      <c r="P117" s="2">
        <v>2</v>
      </c>
      <c r="Q117" s="34" t="s">
        <v>304</v>
      </c>
      <c r="R117" s="2" t="s">
        <v>46</v>
      </c>
      <c r="S117" s="204"/>
      <c r="T117" s="204"/>
      <c r="U117" s="204"/>
      <c r="V117" t="s">
        <v>303</v>
      </c>
      <c r="W117" s="2">
        <v>4</v>
      </c>
      <c r="X117" s="34" t="s">
        <v>304</v>
      </c>
      <c r="Y117" s="2" t="s">
        <v>46</v>
      </c>
      <c r="Z117" s="204"/>
      <c r="AA117" s="204"/>
      <c r="AB117" s="204"/>
      <c r="AC117" s="204"/>
      <c r="AD117" s="204"/>
      <c r="AE117" s="204"/>
      <c r="AF117" s="204"/>
      <c r="AG117" s="204"/>
      <c r="AH117" s="204"/>
      <c r="AI117" s="204"/>
      <c r="AJ117" t="s">
        <v>303</v>
      </c>
      <c r="AK117" s="2">
        <v>4</v>
      </c>
      <c r="AL117" s="34" t="s">
        <v>304</v>
      </c>
      <c r="AM117" s="2" t="s">
        <v>46</v>
      </c>
    </row>
    <row r="118" spans="1:39" outlineLevel="1" x14ac:dyDescent="0.35">
      <c r="A118" s="259"/>
      <c r="B118" s="204"/>
      <c r="C118" s="259"/>
      <c r="D118" s="204"/>
      <c r="E118" s="201"/>
      <c r="F118" s="204"/>
      <c r="G118" s="204"/>
      <c r="H118" s="204"/>
      <c r="I118" s="204"/>
      <c r="J118" s="204"/>
      <c r="K118" s="204"/>
      <c r="L118" s="204"/>
      <c r="M118" s="204"/>
      <c r="N118" s="204"/>
      <c r="O118" s="204"/>
      <c r="P118" s="204"/>
      <c r="Q118" s="204"/>
      <c r="R118" s="204"/>
      <c r="S118" s="204"/>
      <c r="T118" s="204"/>
      <c r="U118" s="204"/>
      <c r="V118" s="204"/>
      <c r="W118" s="204"/>
      <c r="X118" s="204"/>
      <c r="Y118" s="204"/>
      <c r="Z118" s="204"/>
      <c r="AA118" s="204"/>
      <c r="AB118" s="204"/>
      <c r="AC118" s="204"/>
      <c r="AD118" s="204"/>
      <c r="AE118" s="204"/>
      <c r="AF118" s="204"/>
      <c r="AG118" s="204"/>
      <c r="AH118" s="204"/>
      <c r="AI118" s="204"/>
      <c r="AJ118" s="204"/>
      <c r="AK118" s="204"/>
      <c r="AL118" s="204"/>
      <c r="AM118" s="204"/>
    </row>
    <row r="119" spans="1:39" ht="23.5" outlineLevel="1" x14ac:dyDescent="0.55000000000000004">
      <c r="A119" s="259"/>
      <c r="B119" s="204"/>
      <c r="C119" s="259"/>
      <c r="D119" s="204"/>
      <c r="E119" s="260" t="s">
        <v>338</v>
      </c>
      <c r="F119" s="204"/>
      <c r="G119" s="204"/>
      <c r="H119" s="204"/>
      <c r="I119" s="204"/>
      <c r="J119" s="204"/>
      <c r="K119" s="204"/>
      <c r="L119" s="204"/>
      <c r="M119" s="204"/>
      <c r="N119" s="88" t="s">
        <v>17</v>
      </c>
      <c r="O119" s="204"/>
      <c r="P119" s="204"/>
      <c r="Q119" s="204"/>
      <c r="R119" s="204"/>
      <c r="S119" s="204"/>
      <c r="T119" s="204"/>
      <c r="U119" s="88" t="s">
        <v>17</v>
      </c>
      <c r="V119" s="26"/>
      <c r="W119" s="26"/>
      <c r="X119" s="26"/>
      <c r="Y119" s="204"/>
      <c r="Z119" s="204"/>
      <c r="AA119" s="204"/>
      <c r="AB119" s="204"/>
      <c r="AC119" s="204"/>
      <c r="AD119" s="204"/>
      <c r="AE119" s="204"/>
      <c r="AF119" s="204"/>
      <c r="AG119" s="204"/>
      <c r="AH119" s="204"/>
      <c r="AI119" s="204"/>
      <c r="AJ119" s="204"/>
      <c r="AK119" s="204"/>
      <c r="AL119" s="204"/>
      <c r="AM119" s="204"/>
    </row>
    <row r="120" spans="1:39" outlineLevel="1" x14ac:dyDescent="0.35">
      <c r="A120" s="259"/>
      <c r="B120" s="204"/>
      <c r="C120" s="259"/>
      <c r="D120" s="204"/>
      <c r="E120" s="260"/>
      <c r="F120" s="204"/>
      <c r="G120" s="204"/>
      <c r="H120" s="204"/>
      <c r="I120" s="204"/>
      <c r="J120" s="204"/>
      <c r="K120" s="204"/>
      <c r="L120" s="204"/>
      <c r="M120" s="204"/>
      <c r="N120" s="204" t="s">
        <v>331</v>
      </c>
      <c r="O120" s="204"/>
      <c r="P120" s="204"/>
      <c r="Q120" s="204"/>
      <c r="R120" s="204"/>
      <c r="S120" s="204"/>
      <c r="T120" s="204"/>
      <c r="U120" s="204" t="s">
        <v>320</v>
      </c>
      <c r="V120" s="204"/>
      <c r="W120" s="204"/>
      <c r="X120" s="204"/>
      <c r="Y120" s="204"/>
      <c r="Z120" s="204"/>
      <c r="AA120" s="204"/>
      <c r="AB120" s="204"/>
      <c r="AC120" s="204"/>
      <c r="AD120" s="204"/>
      <c r="AE120" s="204"/>
      <c r="AF120" s="204"/>
      <c r="AG120" s="204"/>
      <c r="AH120" s="204"/>
      <c r="AI120" s="204"/>
      <c r="AJ120" s="204"/>
      <c r="AK120" s="204"/>
      <c r="AL120" s="204"/>
      <c r="AM120" s="204"/>
    </row>
    <row r="121" spans="1:39" outlineLevel="1" x14ac:dyDescent="0.35">
      <c r="A121" s="259"/>
      <c r="B121" s="204"/>
      <c r="C121" s="259"/>
      <c r="D121" s="204"/>
      <c r="E121" s="260"/>
      <c r="F121" s="204"/>
      <c r="G121" s="204"/>
      <c r="H121" s="204"/>
      <c r="I121" s="204"/>
      <c r="J121" s="204"/>
      <c r="K121" s="204"/>
      <c r="L121" s="204"/>
      <c r="M121" s="204"/>
      <c r="N121" t="s">
        <v>338</v>
      </c>
      <c r="O121" s="204"/>
      <c r="P121" s="204"/>
      <c r="Q121" s="204"/>
      <c r="R121" s="204"/>
      <c r="S121" s="204"/>
      <c r="T121" s="204"/>
      <c r="U121" t="s">
        <v>338</v>
      </c>
      <c r="V121" s="204"/>
      <c r="W121" s="204"/>
      <c r="X121" s="204"/>
      <c r="Y121" s="204"/>
      <c r="Z121" s="204"/>
      <c r="AA121" s="204"/>
      <c r="AB121" s="204"/>
      <c r="AC121" s="204"/>
      <c r="AD121" s="204"/>
      <c r="AE121" s="204"/>
      <c r="AF121" s="204"/>
      <c r="AG121" s="204"/>
      <c r="AH121" s="204"/>
      <c r="AI121" s="204"/>
      <c r="AJ121" s="204"/>
      <c r="AK121" s="204"/>
      <c r="AL121" s="204"/>
      <c r="AM121" s="204"/>
    </row>
    <row r="122" spans="1:39" outlineLevel="1" x14ac:dyDescent="0.35">
      <c r="A122" s="259"/>
      <c r="B122" s="204"/>
      <c r="C122" s="259"/>
      <c r="D122" s="204"/>
      <c r="E122" s="260"/>
      <c r="F122" s="204"/>
      <c r="G122" s="204"/>
      <c r="H122" s="204"/>
      <c r="I122" s="204"/>
      <c r="J122" s="204"/>
      <c r="K122" s="204"/>
      <c r="L122" s="204"/>
      <c r="M122" s="204"/>
      <c r="N122" s="204"/>
      <c r="O122" t="s">
        <v>300</v>
      </c>
      <c r="P122" t="s">
        <v>105</v>
      </c>
      <c r="Q122" t="s">
        <v>301</v>
      </c>
      <c r="R122" t="s">
        <v>302</v>
      </c>
      <c r="S122" s="204"/>
      <c r="T122" s="204"/>
      <c r="U122" s="204"/>
      <c r="V122" t="s">
        <v>300</v>
      </c>
      <c r="W122" t="s">
        <v>86</v>
      </c>
      <c r="X122" t="s">
        <v>301</v>
      </c>
      <c r="Y122" t="s">
        <v>302</v>
      </c>
      <c r="Z122" s="204"/>
      <c r="AA122" s="204"/>
      <c r="AB122" s="204"/>
      <c r="AC122" s="204"/>
      <c r="AD122" s="204"/>
      <c r="AE122" s="204"/>
      <c r="AF122" s="204"/>
      <c r="AG122" s="204"/>
      <c r="AH122" s="204"/>
      <c r="AI122" s="204"/>
      <c r="AJ122" s="204"/>
      <c r="AK122" s="204"/>
      <c r="AL122" s="204"/>
      <c r="AM122" s="204"/>
    </row>
    <row r="123" spans="1:39" outlineLevel="1" x14ac:dyDescent="0.35">
      <c r="A123" s="259"/>
      <c r="B123" s="204"/>
      <c r="C123" s="259"/>
      <c r="D123" s="204"/>
      <c r="E123" s="260"/>
      <c r="F123" s="204"/>
      <c r="G123" s="204"/>
      <c r="H123" s="204"/>
      <c r="I123" s="204"/>
      <c r="J123" s="204"/>
      <c r="K123" s="204"/>
      <c r="L123" s="204"/>
      <c r="M123" s="204"/>
      <c r="N123" s="204"/>
      <c r="O123" t="s">
        <v>88</v>
      </c>
      <c r="P123">
        <v>300</v>
      </c>
      <c r="Q123">
        <v>150</v>
      </c>
      <c r="R123" s="37">
        <f>P123/P128</f>
        <v>150</v>
      </c>
      <c r="S123" s="204"/>
      <c r="T123" s="204"/>
      <c r="U123" s="204"/>
      <c r="V123" t="s">
        <v>88</v>
      </c>
      <c r="W123">
        <v>500</v>
      </c>
      <c r="X123">
        <v>150</v>
      </c>
      <c r="Y123" s="37">
        <f>W123/W128</f>
        <v>500</v>
      </c>
      <c r="Z123" s="204"/>
      <c r="AA123" s="204"/>
      <c r="AB123" s="204"/>
      <c r="AC123" s="204"/>
      <c r="AD123" s="204"/>
      <c r="AE123" s="204"/>
      <c r="AF123" s="204"/>
      <c r="AG123" s="204"/>
      <c r="AH123" s="204"/>
      <c r="AI123" s="204"/>
      <c r="AJ123" s="204"/>
      <c r="AK123" s="204"/>
      <c r="AL123" s="204"/>
      <c r="AM123" s="204"/>
    </row>
    <row r="124" spans="1:39" outlineLevel="1" x14ac:dyDescent="0.35">
      <c r="A124" s="259"/>
      <c r="B124" s="204"/>
      <c r="C124" s="259"/>
      <c r="D124" s="204"/>
      <c r="E124" s="260"/>
      <c r="F124" s="204"/>
      <c r="G124" s="204"/>
      <c r="H124" s="204"/>
      <c r="I124" s="204"/>
      <c r="J124" s="204"/>
      <c r="K124" s="204"/>
      <c r="L124" s="204"/>
      <c r="M124" s="204"/>
      <c r="N124" s="204"/>
      <c r="O124" t="s">
        <v>89</v>
      </c>
      <c r="P124" s="27">
        <v>0.2</v>
      </c>
      <c r="Q124" s="27">
        <v>9.9000000000000005E-2</v>
      </c>
      <c r="R124" s="38">
        <f>IF(R128="1.25m",P124/P128-SUM($K$8,$K$16)/P128,P124/P128)</f>
        <v>8.2500000000000004E-2</v>
      </c>
      <c r="S124" s="204"/>
      <c r="T124" s="204"/>
      <c r="U124" s="204"/>
      <c r="V124" t="s">
        <v>89</v>
      </c>
      <c r="W124" s="27">
        <v>0.04</v>
      </c>
      <c r="X124" s="27">
        <v>9.9000000000000005E-2</v>
      </c>
      <c r="Y124" s="38">
        <f>IF(Y128="1.25m",W124/W128-SUM($K$8,$K$16)/W128,W124/W128)</f>
        <v>0.04</v>
      </c>
      <c r="Z124" s="204"/>
      <c r="AA124" s="204"/>
      <c r="AB124" s="204"/>
      <c r="AC124" s="204"/>
      <c r="AD124" s="204"/>
      <c r="AE124" s="204"/>
      <c r="AF124" s="204"/>
      <c r="AG124" s="204"/>
      <c r="AH124" s="204"/>
      <c r="AI124" s="204"/>
      <c r="AJ124" s="204"/>
      <c r="AK124" s="204"/>
      <c r="AL124" s="204"/>
      <c r="AM124" s="204"/>
    </row>
    <row r="125" spans="1:39" outlineLevel="1" x14ac:dyDescent="0.35">
      <c r="A125" s="259"/>
      <c r="B125" s="204"/>
      <c r="C125" s="259"/>
      <c r="D125" s="204"/>
      <c r="E125" s="260"/>
      <c r="F125" s="204"/>
      <c r="G125" s="204"/>
      <c r="H125" s="204"/>
      <c r="I125" s="204"/>
      <c r="J125" s="204"/>
      <c r="K125" s="204"/>
      <c r="L125" s="204"/>
      <c r="M125" s="204"/>
      <c r="N125" s="204"/>
      <c r="O125" t="s">
        <v>81</v>
      </c>
      <c r="P125">
        <v>112800.6</v>
      </c>
      <c r="Q125">
        <v>7000</v>
      </c>
      <c r="R125" s="37">
        <f>P125/P128</f>
        <v>56400.3</v>
      </c>
      <c r="S125" s="204"/>
      <c r="T125" s="204"/>
      <c r="U125" s="204"/>
      <c r="V125" t="s">
        <v>81</v>
      </c>
      <c r="W125" s="28">
        <v>1830</v>
      </c>
      <c r="X125" s="28">
        <v>7000</v>
      </c>
      <c r="Y125" s="37">
        <f>W125/W128</f>
        <v>1830</v>
      </c>
      <c r="Z125" s="204"/>
      <c r="AA125" s="204"/>
      <c r="AB125" s="204"/>
      <c r="AC125" s="204"/>
      <c r="AD125" s="204"/>
      <c r="AE125" s="204"/>
      <c r="AF125" s="204"/>
      <c r="AG125" s="204"/>
      <c r="AH125" s="204"/>
      <c r="AI125" s="204"/>
      <c r="AJ125" s="204"/>
      <c r="AK125" s="204"/>
      <c r="AL125" s="204"/>
      <c r="AM125" s="204"/>
    </row>
    <row r="126" spans="1:39" outlineLevel="1" x14ac:dyDescent="0.35">
      <c r="A126" s="259"/>
      <c r="B126" s="204"/>
      <c r="C126" s="259"/>
      <c r="D126" s="204"/>
      <c r="E126" s="260"/>
      <c r="F126" s="204"/>
      <c r="G126" s="204"/>
      <c r="H126" s="204"/>
      <c r="I126" s="204"/>
      <c r="J126" s="204"/>
      <c r="K126" s="204"/>
      <c r="L126" s="204"/>
      <c r="M126" s="204"/>
      <c r="N126" s="204"/>
      <c r="O126" s="29" t="s">
        <v>313</v>
      </c>
      <c r="P126" s="30">
        <f>P123-INDEX(CommunityResourcePack[unitCost],MATCH(O125,CommunityResourcePack[name],0))*P125</f>
        <v>299.67697292178002</v>
      </c>
      <c r="Q126" s="30">
        <f>Q123-INDEX(CommunityResourcePack[unitCost],MATCH(O125,CommunityResourcePack[name],0))*Q125</f>
        <v>149.97995409999999</v>
      </c>
      <c r="R126" s="30">
        <f>P126/P128</f>
        <v>149.83848646089001</v>
      </c>
      <c r="S126" s="204"/>
      <c r="T126" s="204"/>
      <c r="U126" s="204"/>
      <c r="V126" s="29" t="s">
        <v>313</v>
      </c>
      <c r="W126" s="30">
        <f>W123-INDEX(CommunityResourcePack[unitCost],MATCH(V125,CommunityResourcePack[name],0))*W125</f>
        <v>499.994759429</v>
      </c>
      <c r="X126" s="30">
        <f>X123-INDEX(CommunityResourcePack[unitCost],MATCH(V125,CommunityResourcePack[name],0))*X125</f>
        <v>149.97995409999999</v>
      </c>
      <c r="Y126" s="30">
        <f>W126/W128</f>
        <v>499.994759429</v>
      </c>
      <c r="Z126" s="204"/>
      <c r="AA126" s="204"/>
      <c r="AB126" s="204"/>
      <c r="AC126" s="204"/>
      <c r="AD126" s="204"/>
      <c r="AE126" s="204"/>
      <c r="AF126" s="204"/>
      <c r="AG126" s="204"/>
      <c r="AH126" s="204"/>
      <c r="AI126" s="204"/>
      <c r="AJ126" s="204"/>
      <c r="AK126" s="204"/>
      <c r="AL126" s="204"/>
      <c r="AM126" s="204"/>
    </row>
    <row r="127" spans="1:39" outlineLevel="1" x14ac:dyDescent="0.35">
      <c r="A127" s="259"/>
      <c r="B127" s="204"/>
      <c r="C127" s="259"/>
      <c r="D127" s="204"/>
      <c r="E127" s="260"/>
      <c r="F127" s="204"/>
      <c r="G127" s="204"/>
      <c r="H127" s="204"/>
      <c r="I127" s="204"/>
      <c r="J127" s="204"/>
      <c r="K127" s="204"/>
      <c r="L127" s="204"/>
      <c r="M127" s="204"/>
      <c r="N127" s="204"/>
      <c r="O127" s="29" t="s">
        <v>314</v>
      </c>
      <c r="P127" s="31">
        <f>P124+INDEX(CommunityResourcePack[density],MATCH(O125,CommunityResourcePack[name],0))*P125</f>
        <v>0.42007397060000007</v>
      </c>
      <c r="Q127" s="31">
        <f>Q124+INDEX(CommunityResourcePack[density],MATCH(O125,CommunityResourcePack[name],0))*Q125</f>
        <v>0.11265700000000001</v>
      </c>
      <c r="R127" s="31">
        <f>IF(R128="1.25m",P127/P128-SUM($K$8,$K$16)/P128,P127/P128)</f>
        <v>0.19253698530000002</v>
      </c>
      <c r="S127" s="204"/>
      <c r="T127" s="204"/>
      <c r="U127" s="204"/>
      <c r="V127" s="29" t="s">
        <v>314</v>
      </c>
      <c r="W127" s="31">
        <f>W124+INDEX(CommunityResourcePack[density],MATCH(V125,CommunityResourcePack[name],0))*W125</f>
        <v>4.3570330000000004E-2</v>
      </c>
      <c r="X127" s="31">
        <f>X124+INDEX(CommunityResourcePack[density],MATCH(V125,CommunityResourcePack[name],0))*X125</f>
        <v>0.11265700000000001</v>
      </c>
      <c r="Y127" s="31">
        <f>IF(Y128="1.25m",W127/W128-SUM($K$8,$K$16)/W128,W127/W128)</f>
        <v>4.3570330000000004E-2</v>
      </c>
      <c r="Z127" s="204"/>
      <c r="AA127" s="204"/>
      <c r="AB127" s="204"/>
      <c r="AC127" s="204"/>
      <c r="AD127" s="204"/>
      <c r="AE127" s="204"/>
      <c r="AF127" s="204"/>
      <c r="AG127" s="204"/>
      <c r="AH127" s="204"/>
      <c r="AI127" s="204"/>
      <c r="AJ127" s="204"/>
      <c r="AK127" s="204"/>
      <c r="AL127" s="204"/>
      <c r="AM127" s="204"/>
    </row>
    <row r="128" spans="1:39" outlineLevel="1" x14ac:dyDescent="0.35">
      <c r="A128" s="259"/>
      <c r="B128" s="204"/>
      <c r="C128" s="259"/>
      <c r="D128" s="204"/>
      <c r="E128" s="260"/>
      <c r="F128" s="204"/>
      <c r="G128" s="204"/>
      <c r="H128" s="204"/>
      <c r="I128" s="204"/>
      <c r="J128" s="204"/>
      <c r="K128" s="204"/>
      <c r="L128" s="204"/>
      <c r="M128" s="204"/>
      <c r="N128" s="204"/>
      <c r="O128" s="33" t="s">
        <v>303</v>
      </c>
      <c r="P128" s="2">
        <v>2</v>
      </c>
      <c r="Q128" s="34" t="s">
        <v>304</v>
      </c>
      <c r="R128" s="2" t="s">
        <v>46</v>
      </c>
      <c r="S128" s="204"/>
      <c r="T128" s="204"/>
      <c r="U128" s="204"/>
      <c r="V128" t="s">
        <v>303</v>
      </c>
      <c r="W128" s="2">
        <v>1</v>
      </c>
      <c r="X128" s="34" t="s">
        <v>304</v>
      </c>
      <c r="Y128" s="2" t="s">
        <v>45</v>
      </c>
      <c r="Z128" s="204"/>
      <c r="AA128" s="204"/>
      <c r="AB128" s="204"/>
      <c r="AC128" s="204"/>
      <c r="AD128" s="204"/>
      <c r="AE128" s="204"/>
      <c r="AF128" s="204"/>
      <c r="AG128" s="204"/>
      <c r="AH128" s="204"/>
      <c r="AI128" s="204"/>
      <c r="AJ128" s="204"/>
      <c r="AK128" s="204"/>
      <c r="AL128" s="204"/>
      <c r="AM128" s="204"/>
    </row>
    <row r="129" spans="1:11" x14ac:dyDescent="0.35">
      <c r="A129" s="259"/>
      <c r="B129" s="204"/>
      <c r="C129" s="43" t="s">
        <v>309</v>
      </c>
      <c r="D129" s="204"/>
      <c r="E129" s="201"/>
      <c r="F129" s="204"/>
      <c r="G129" s="204"/>
      <c r="H129" s="204"/>
      <c r="I129" s="204"/>
      <c r="J129" s="204"/>
      <c r="K129" s="204"/>
    </row>
    <row r="130" spans="1:11" ht="23.5" customHeight="1" outlineLevel="1" x14ac:dyDescent="0.55000000000000004">
      <c r="A130" s="259"/>
      <c r="B130" s="204"/>
      <c r="C130" s="258" t="s">
        <v>45</v>
      </c>
      <c r="D130" s="43"/>
      <c r="E130" s="258" t="s">
        <v>339</v>
      </c>
      <c r="F130" s="204"/>
      <c r="G130" s="88" t="s">
        <v>340</v>
      </c>
      <c r="H130" s="204"/>
      <c r="I130" s="204"/>
      <c r="J130" s="204"/>
      <c r="K130" s="204"/>
    </row>
    <row r="131" spans="1:11" outlineLevel="1" x14ac:dyDescent="0.35">
      <c r="A131" s="259"/>
      <c r="B131" s="204"/>
      <c r="C131" s="258"/>
      <c r="D131" s="43"/>
      <c r="E131" s="258"/>
      <c r="F131" s="204"/>
      <c r="G131" s="204" t="s">
        <v>341</v>
      </c>
      <c r="H131" s="204"/>
      <c r="I131" s="204"/>
      <c r="J131" s="204"/>
      <c r="K131" s="204"/>
    </row>
    <row r="132" spans="1:11" outlineLevel="1" x14ac:dyDescent="0.35">
      <c r="A132" s="259"/>
      <c r="B132" s="204"/>
      <c r="C132" s="258"/>
      <c r="D132" s="43"/>
      <c r="E132" s="258"/>
      <c r="F132" s="204"/>
      <c r="G132" t="s">
        <v>339</v>
      </c>
      <c r="H132" s="204"/>
      <c r="I132" s="204"/>
      <c r="J132" s="204"/>
      <c r="K132" s="204"/>
    </row>
    <row r="133" spans="1:11" outlineLevel="1" x14ac:dyDescent="0.35">
      <c r="A133" s="259"/>
      <c r="B133" s="204"/>
      <c r="C133" s="258"/>
      <c r="D133" s="43"/>
      <c r="E133" s="258"/>
      <c r="F133" s="204"/>
      <c r="G133" s="204"/>
      <c r="H133" t="s">
        <v>300</v>
      </c>
      <c r="I133" t="s">
        <v>85</v>
      </c>
      <c r="J133" t="s">
        <v>301</v>
      </c>
      <c r="K133" t="s">
        <v>302</v>
      </c>
    </row>
    <row r="134" spans="1:11" outlineLevel="1" x14ac:dyDescent="0.35">
      <c r="A134" s="259"/>
      <c r="B134" s="204"/>
      <c r="C134" s="258"/>
      <c r="D134" s="43"/>
      <c r="E134" s="258"/>
      <c r="F134" s="204"/>
      <c r="G134" s="204"/>
      <c r="H134" t="s">
        <v>88</v>
      </c>
      <c r="I134">
        <v>50</v>
      </c>
      <c r="J134">
        <v>35</v>
      </c>
      <c r="K134" s="65">
        <f>I134/I140</f>
        <v>2.5</v>
      </c>
    </row>
    <row r="135" spans="1:11" outlineLevel="1" x14ac:dyDescent="0.35">
      <c r="A135" s="259"/>
      <c r="B135" s="204"/>
      <c r="C135" s="258"/>
      <c r="D135" s="43"/>
      <c r="E135" s="258"/>
      <c r="F135" s="204"/>
      <c r="G135" s="204"/>
      <c r="H135" t="s">
        <v>89</v>
      </c>
      <c r="I135" s="27">
        <v>0.30380000000000001</v>
      </c>
      <c r="J135" s="27">
        <v>0.03</v>
      </c>
      <c r="K135" s="65">
        <f>IF(K140="1.25m",I135/I140-SUM($K$8,$K$16)/I140,I135/I140)</f>
        <v>1.519E-2</v>
      </c>
    </row>
    <row r="136" spans="1:11" outlineLevel="1" x14ac:dyDescent="0.35">
      <c r="A136" s="259"/>
      <c r="B136" s="204"/>
      <c r="C136" s="258"/>
      <c r="D136" s="43"/>
      <c r="E136" s="258"/>
      <c r="F136" s="204"/>
      <c r="G136" s="204"/>
      <c r="H136" t="s">
        <v>285</v>
      </c>
      <c r="I136" s="28">
        <v>24.3</v>
      </c>
      <c r="J136">
        <v>3.7</v>
      </c>
      <c r="K136" s="65">
        <f>I136/I140</f>
        <v>1.2150000000000001</v>
      </c>
    </row>
    <row r="137" spans="1:11" outlineLevel="1" x14ac:dyDescent="0.35">
      <c r="A137" s="259"/>
      <c r="B137" s="204"/>
      <c r="C137" s="258"/>
      <c r="D137" s="43"/>
      <c r="E137" s="258"/>
      <c r="F137" s="204"/>
      <c r="G137" s="204"/>
      <c r="H137" t="s">
        <v>288</v>
      </c>
      <c r="I137" s="28">
        <v>29.7</v>
      </c>
      <c r="J137" s="28">
        <v>3</v>
      </c>
      <c r="K137" s="65">
        <f>I137/I140</f>
        <v>1.4849999999999999</v>
      </c>
    </row>
    <row r="138" spans="1:11" outlineLevel="1" x14ac:dyDescent="0.35">
      <c r="A138" s="259"/>
      <c r="B138" s="204"/>
      <c r="C138" s="258"/>
      <c r="D138" s="43"/>
      <c r="E138" s="258"/>
      <c r="F138" s="204"/>
      <c r="G138" s="204"/>
      <c r="H138" s="29" t="s">
        <v>313</v>
      </c>
      <c r="I138" s="30">
        <f>I134-INDEX(CommunityResourcePack[unitCost],MATCH(H136,CommunityResourcePack[name],0))*I136-INDEX(CommunityResourcePack[unitCost],MATCH(H137,CommunityResourcePack[name],0))*I137</f>
        <v>25.213999999999999</v>
      </c>
      <c r="J138" s="30">
        <f>J134-INDEX(CommunityResourcePack[unitCost],MATCH(H136,CommunityResourcePack[name],0))*J136-INDEX(CommunityResourcePack[unitCost],MATCH(H137,CommunityResourcePack[name],0))*J137</f>
        <v>31.5</v>
      </c>
      <c r="K138" s="30">
        <f>I138/I140</f>
        <v>1.2606999999999999</v>
      </c>
    </row>
    <row r="139" spans="1:11" outlineLevel="1" x14ac:dyDescent="0.35">
      <c r="A139" s="259"/>
      <c r="B139" s="204"/>
      <c r="C139" s="258"/>
      <c r="D139" s="43"/>
      <c r="E139" s="258"/>
      <c r="F139" s="204"/>
      <c r="G139" s="204"/>
      <c r="H139" s="29" t="s">
        <v>314</v>
      </c>
      <c r="I139" s="31">
        <f>I135+INDEX(CommunityResourcePack[density],MATCH(H136,CommunityResourcePack[name],0))*I136+INDEX(CommunityResourcePack[density],MATCH(H137,CommunityResourcePack[name],0))*I137</f>
        <v>0.57379999999999998</v>
      </c>
      <c r="J139" s="31">
        <f>J135+INDEX(CommunityResourcePack[density],MATCH(H136,CommunityResourcePack[name],0))*J136+INDEX(CommunityResourcePack[density],MATCH(H137,CommunityResourcePack[name],0))*J137</f>
        <v>6.3500000000000001E-2</v>
      </c>
      <c r="K139" s="31">
        <f>IF(K140="1.25m",I139/I140-SUM($K$8,$K$16)/I140,I139/I140)</f>
        <v>2.869E-2</v>
      </c>
    </row>
    <row r="140" spans="1:11" outlineLevel="1" x14ac:dyDescent="0.35">
      <c r="A140" s="259"/>
      <c r="B140" s="204"/>
      <c r="C140" s="258"/>
      <c r="D140" s="204"/>
      <c r="E140" s="258"/>
      <c r="F140" s="204"/>
      <c r="G140" s="204"/>
      <c r="H140" s="33" t="s">
        <v>303</v>
      </c>
      <c r="I140" s="2">
        <v>20</v>
      </c>
      <c r="J140" s="34" t="s">
        <v>304</v>
      </c>
      <c r="K140" s="2" t="s">
        <v>45</v>
      </c>
    </row>
    <row r="141" spans="1:11" outlineLevel="1" x14ac:dyDescent="0.35">
      <c r="A141" s="259"/>
      <c r="B141" s="204"/>
      <c r="C141" s="258"/>
      <c r="D141" s="204"/>
      <c r="E141" s="258"/>
      <c r="F141" s="204"/>
      <c r="G141" s="204"/>
      <c r="H141" s="204"/>
      <c r="I141" s="204"/>
      <c r="J141" s="204"/>
      <c r="K141" s="204"/>
    </row>
    <row r="142" spans="1:11" ht="23.5" outlineLevel="1" x14ac:dyDescent="0.55000000000000004">
      <c r="A142" s="259"/>
      <c r="B142" s="204"/>
      <c r="C142" s="258"/>
      <c r="D142" s="204"/>
      <c r="E142" s="258"/>
      <c r="F142" s="204"/>
      <c r="G142" s="88" t="s">
        <v>342</v>
      </c>
      <c r="H142" s="202"/>
      <c r="I142" s="41"/>
      <c r="J142" s="202"/>
      <c r="K142" s="202"/>
    </row>
    <row r="143" spans="1:11" ht="23.5" outlineLevel="1" x14ac:dyDescent="0.55000000000000004">
      <c r="A143" s="259"/>
      <c r="B143" s="204"/>
      <c r="C143" s="258"/>
      <c r="D143" s="204"/>
      <c r="E143" s="258"/>
      <c r="F143" s="204"/>
      <c r="G143" s="204" t="s">
        <v>343</v>
      </c>
      <c r="H143" s="26"/>
      <c r="I143" s="26"/>
      <c r="J143" s="26"/>
      <c r="K143" s="204"/>
    </row>
    <row r="144" spans="1:11" outlineLevel="1" x14ac:dyDescent="0.35">
      <c r="A144" s="259"/>
      <c r="B144" s="204"/>
      <c r="C144" s="258"/>
      <c r="D144" s="204"/>
      <c r="E144" s="258"/>
      <c r="F144" s="204"/>
      <c r="G144" t="s">
        <v>339</v>
      </c>
      <c r="H144" s="204"/>
      <c r="I144" s="204"/>
      <c r="J144" s="204"/>
      <c r="K144" s="204"/>
    </row>
    <row r="145" spans="1:25" outlineLevel="1" x14ac:dyDescent="0.35">
      <c r="A145" s="259"/>
      <c r="B145" s="204"/>
      <c r="C145" s="258"/>
      <c r="D145" s="204"/>
      <c r="E145" s="258"/>
      <c r="F145" s="204"/>
      <c r="G145" s="204"/>
      <c r="H145" t="s">
        <v>300</v>
      </c>
      <c r="I145" t="s">
        <v>85</v>
      </c>
      <c r="J145" t="s">
        <v>301</v>
      </c>
      <c r="K145" t="s">
        <v>302</v>
      </c>
      <c r="L145" s="204"/>
      <c r="M145" s="204"/>
      <c r="N145" s="204"/>
      <c r="O145" s="204"/>
      <c r="P145" s="204"/>
      <c r="Q145" s="204"/>
      <c r="R145" s="204"/>
      <c r="S145" s="204"/>
      <c r="T145" s="204"/>
      <c r="U145" s="204"/>
      <c r="V145" s="204"/>
      <c r="W145" s="204"/>
      <c r="X145" s="204"/>
      <c r="Y145" s="204"/>
    </row>
    <row r="146" spans="1:25" outlineLevel="1" x14ac:dyDescent="0.35">
      <c r="A146" s="259"/>
      <c r="B146" s="204"/>
      <c r="C146" s="258"/>
      <c r="D146" s="204"/>
      <c r="E146" s="258"/>
      <c r="F146" s="204"/>
      <c r="G146" s="204"/>
      <c r="H146" t="s">
        <v>88</v>
      </c>
      <c r="I146">
        <v>30</v>
      </c>
      <c r="J146">
        <v>35</v>
      </c>
      <c r="K146" s="65">
        <f>I146/I151</f>
        <v>15</v>
      </c>
      <c r="L146" s="204"/>
      <c r="M146" s="204"/>
      <c r="N146" s="204"/>
      <c r="O146" s="204"/>
      <c r="P146" s="204"/>
      <c r="Q146" s="204"/>
      <c r="R146" s="204"/>
      <c r="S146" s="204"/>
      <c r="T146" s="204"/>
      <c r="U146" s="204"/>
      <c r="V146" s="204"/>
      <c r="W146" s="204"/>
      <c r="X146" s="204"/>
      <c r="Y146" s="204"/>
    </row>
    <row r="147" spans="1:25" outlineLevel="1" x14ac:dyDescent="0.35">
      <c r="A147" s="259"/>
      <c r="B147" s="204"/>
      <c r="C147" s="258"/>
      <c r="D147" s="204"/>
      <c r="E147" s="258"/>
      <c r="F147" s="204"/>
      <c r="G147" s="204"/>
      <c r="H147" t="s">
        <v>89</v>
      </c>
      <c r="I147" s="27">
        <v>0.04</v>
      </c>
      <c r="J147" s="27">
        <v>0.03</v>
      </c>
      <c r="K147" s="65">
        <f>IF(K151="1.25m",I147/I151-SUM($K$8,$K$16)/I151,I147/I151)</f>
        <v>0.02</v>
      </c>
      <c r="L147" s="204"/>
      <c r="M147" s="204"/>
      <c r="N147" s="204"/>
      <c r="O147" s="204"/>
      <c r="P147" s="204"/>
      <c r="Q147" s="204"/>
      <c r="R147" s="204"/>
      <c r="S147" s="204"/>
      <c r="T147" s="204"/>
      <c r="U147" s="204"/>
      <c r="V147" s="204"/>
      <c r="W147" s="204"/>
      <c r="X147" s="204"/>
      <c r="Y147" s="204"/>
    </row>
    <row r="148" spans="1:25" outlineLevel="1" x14ac:dyDescent="0.35">
      <c r="A148" s="259"/>
      <c r="B148" s="204"/>
      <c r="C148" s="258"/>
      <c r="D148" s="204"/>
      <c r="E148" s="258"/>
      <c r="F148" s="204"/>
      <c r="G148" s="204"/>
      <c r="H148" t="s">
        <v>286</v>
      </c>
      <c r="I148" s="28">
        <v>7.5</v>
      </c>
      <c r="J148">
        <v>3.5</v>
      </c>
      <c r="K148" s="65">
        <f>I148/I151</f>
        <v>3.75</v>
      </c>
      <c r="L148" s="204"/>
      <c r="M148" s="204"/>
      <c r="N148" s="204"/>
      <c r="O148" s="204"/>
      <c r="P148" s="204"/>
      <c r="Q148" s="204"/>
      <c r="R148" s="204"/>
      <c r="S148" s="204"/>
      <c r="T148" s="204"/>
      <c r="U148" s="204"/>
      <c r="V148" s="204"/>
      <c r="W148" s="204"/>
      <c r="X148" s="204"/>
      <c r="Y148" s="204"/>
    </row>
    <row r="149" spans="1:25" outlineLevel="1" x14ac:dyDescent="0.35">
      <c r="A149" s="259"/>
      <c r="B149" s="204"/>
      <c r="C149" s="258"/>
      <c r="D149" s="204"/>
      <c r="E149" s="258"/>
      <c r="F149" s="204"/>
      <c r="G149" s="204"/>
      <c r="H149" s="29" t="s">
        <v>313</v>
      </c>
      <c r="I149" s="30">
        <f>I146-INDEX(CommunityResourcePack[unitCost],MATCH(H148,CommunityResourcePack[name],0))*I148</f>
        <v>21</v>
      </c>
      <c r="J149" s="30">
        <f>J146-INDEX(CommunityResourcePack[unitCost],MATCH(H148,CommunityResourcePack[name],0))*J148</f>
        <v>30.8</v>
      </c>
      <c r="K149" s="30">
        <f>I149/I151</f>
        <v>10.5</v>
      </c>
      <c r="L149" s="204"/>
      <c r="M149" s="204"/>
      <c r="N149" s="204"/>
      <c r="O149" s="204"/>
      <c r="P149" s="204"/>
      <c r="Q149" s="204"/>
      <c r="R149" s="204"/>
      <c r="S149" s="204"/>
      <c r="T149" s="204"/>
      <c r="U149" s="204"/>
      <c r="V149" s="204"/>
      <c r="W149" s="204"/>
      <c r="X149" s="204"/>
      <c r="Y149" s="204"/>
    </row>
    <row r="150" spans="1:25" outlineLevel="1" x14ac:dyDescent="0.35">
      <c r="A150" s="259"/>
      <c r="B150" s="204"/>
      <c r="C150" s="258"/>
      <c r="D150" s="204"/>
      <c r="E150" s="258"/>
      <c r="F150" s="204"/>
      <c r="G150" s="204"/>
      <c r="H150" s="29" t="s">
        <v>314</v>
      </c>
      <c r="I150" s="31">
        <f>I147+INDEX(CommunityResourcePack[density],MATCH(H148,CommunityResourcePack[name],0))*I148</f>
        <v>7.0000000000000007E-2</v>
      </c>
      <c r="J150" s="31">
        <f>J147+INDEX(CommunityResourcePack[density],MATCH(H148,CommunityResourcePack[name],0))*J148</f>
        <v>4.3999999999999997E-2</v>
      </c>
      <c r="K150" s="31">
        <f>IF(K151="1.25m",I150/I151-SUM($K$8,$K$16)/I151,I150/I151)</f>
        <v>3.5000000000000003E-2</v>
      </c>
      <c r="L150" s="204"/>
      <c r="M150" s="204"/>
      <c r="N150" s="204"/>
      <c r="O150" s="204"/>
      <c r="P150" s="204"/>
      <c r="Q150" s="204"/>
      <c r="R150" s="204"/>
      <c r="S150" s="204"/>
      <c r="T150" s="204"/>
      <c r="U150" s="204"/>
      <c r="V150" s="204"/>
      <c r="W150" s="204"/>
      <c r="X150" s="204"/>
      <c r="Y150" s="204"/>
    </row>
    <row r="151" spans="1:25" outlineLevel="1" x14ac:dyDescent="0.35">
      <c r="A151" s="259"/>
      <c r="B151" s="204"/>
      <c r="C151" s="258"/>
      <c r="D151" s="204"/>
      <c r="E151" s="258"/>
      <c r="F151" s="204"/>
      <c r="G151" s="202"/>
      <c r="H151" s="33" t="s">
        <v>303</v>
      </c>
      <c r="I151" s="2">
        <v>2</v>
      </c>
      <c r="J151" s="34" t="s">
        <v>304</v>
      </c>
      <c r="K151" s="2" t="s">
        <v>45</v>
      </c>
      <c r="L151" s="204"/>
      <c r="M151" s="204"/>
      <c r="N151" s="204"/>
      <c r="O151" s="204"/>
      <c r="P151" s="204"/>
      <c r="Q151" s="204"/>
      <c r="R151" s="204"/>
      <c r="S151" s="204"/>
      <c r="T151" s="204"/>
      <c r="U151" s="204"/>
      <c r="V151" s="204"/>
      <c r="W151" s="204"/>
      <c r="X151" s="204"/>
      <c r="Y151" s="204"/>
    </row>
    <row r="152" spans="1:25" outlineLevel="1" x14ac:dyDescent="0.35">
      <c r="A152" s="259"/>
      <c r="B152" s="204"/>
      <c r="C152" s="258"/>
      <c r="D152" s="204"/>
      <c r="E152" s="258"/>
      <c r="F152" s="204"/>
      <c r="G152" s="204"/>
      <c r="H152" s="204"/>
      <c r="I152" s="204"/>
      <c r="J152" s="204"/>
      <c r="K152" s="204"/>
      <c r="L152" s="204"/>
      <c r="M152" s="204"/>
      <c r="N152" s="204"/>
      <c r="O152" s="204"/>
      <c r="P152" s="204"/>
      <c r="Q152" s="204"/>
      <c r="R152" s="204"/>
      <c r="S152" s="204"/>
      <c r="T152" s="204"/>
      <c r="U152" s="204"/>
      <c r="V152" s="204"/>
      <c r="W152" s="204"/>
      <c r="X152" s="204"/>
      <c r="Y152" s="204"/>
    </row>
    <row r="153" spans="1:25" ht="23.5" outlineLevel="1" x14ac:dyDescent="0.55000000000000004">
      <c r="A153" s="259"/>
      <c r="B153" s="204"/>
      <c r="C153" s="258"/>
      <c r="D153" s="204"/>
      <c r="E153" s="258"/>
      <c r="F153" s="204"/>
      <c r="G153" s="88" t="s">
        <v>344</v>
      </c>
      <c r="H153" s="204"/>
      <c r="I153" s="204"/>
      <c r="J153" s="204"/>
      <c r="K153" s="204"/>
      <c r="L153" s="204"/>
      <c r="M153" s="204"/>
      <c r="N153" s="204"/>
      <c r="O153" s="204"/>
      <c r="P153" s="204"/>
      <c r="Q153" s="204"/>
      <c r="R153" s="204"/>
      <c r="S153" s="204"/>
      <c r="T153" s="204"/>
      <c r="U153" s="88" t="s">
        <v>344</v>
      </c>
      <c r="V153" s="204"/>
      <c r="W153" s="204"/>
      <c r="X153" s="204"/>
      <c r="Y153" s="204"/>
    </row>
    <row r="154" spans="1:25" outlineLevel="1" x14ac:dyDescent="0.35">
      <c r="A154" s="259"/>
      <c r="B154" s="204"/>
      <c r="C154" s="258"/>
      <c r="D154" s="204"/>
      <c r="E154" s="258"/>
      <c r="F154" s="204"/>
      <c r="G154" s="204" t="s">
        <v>345</v>
      </c>
      <c r="H154" s="204"/>
      <c r="I154" s="204"/>
      <c r="J154" s="204"/>
      <c r="K154" s="204"/>
      <c r="L154" s="204"/>
      <c r="M154" s="204"/>
      <c r="N154" s="204"/>
      <c r="O154" s="204"/>
      <c r="P154" s="204"/>
      <c r="Q154" s="204"/>
      <c r="R154" s="204"/>
      <c r="S154" s="204"/>
      <c r="T154" s="204"/>
      <c r="U154" s="204" t="s">
        <v>320</v>
      </c>
      <c r="V154" s="204"/>
      <c r="W154" s="204"/>
      <c r="X154" s="204"/>
      <c r="Y154" s="204"/>
    </row>
    <row r="155" spans="1:25" outlineLevel="1" x14ac:dyDescent="0.35">
      <c r="A155" s="259"/>
      <c r="B155" s="204"/>
      <c r="C155" s="258"/>
      <c r="D155" s="204"/>
      <c r="E155" s="258"/>
      <c r="F155" s="204"/>
      <c r="G155" t="s">
        <v>339</v>
      </c>
      <c r="H155" s="204"/>
      <c r="I155" s="204"/>
      <c r="J155" s="204"/>
      <c r="K155" s="204"/>
      <c r="L155" s="204"/>
      <c r="M155" s="204"/>
      <c r="N155" s="204"/>
      <c r="O155" s="204"/>
      <c r="P155" s="204"/>
      <c r="Q155" s="204"/>
      <c r="R155" s="204"/>
      <c r="S155" s="204"/>
      <c r="T155" s="204"/>
      <c r="U155" t="s">
        <v>339</v>
      </c>
      <c r="V155" s="204"/>
      <c r="W155" s="204"/>
      <c r="X155" s="204"/>
      <c r="Y155" s="204"/>
    </row>
    <row r="156" spans="1:25" outlineLevel="1" x14ac:dyDescent="0.35">
      <c r="A156" s="259"/>
      <c r="B156" s="204"/>
      <c r="C156" s="258"/>
      <c r="D156" s="204"/>
      <c r="E156" s="258"/>
      <c r="F156" s="204"/>
      <c r="G156" s="204"/>
      <c r="H156" t="s">
        <v>300</v>
      </c>
      <c r="I156" t="s">
        <v>85</v>
      </c>
      <c r="J156" t="s">
        <v>301</v>
      </c>
      <c r="K156" t="s">
        <v>302</v>
      </c>
      <c r="L156" s="204"/>
      <c r="M156" s="204"/>
      <c r="N156" s="204"/>
      <c r="O156" s="204"/>
      <c r="P156" s="204"/>
      <c r="Q156" s="204"/>
      <c r="R156" s="204"/>
      <c r="S156" s="204"/>
      <c r="T156" s="204"/>
      <c r="U156" s="204"/>
      <c r="V156" t="s">
        <v>300</v>
      </c>
      <c r="W156" t="s">
        <v>86</v>
      </c>
      <c r="X156" t="s">
        <v>301</v>
      </c>
      <c r="Y156" t="s">
        <v>302</v>
      </c>
    </row>
    <row r="157" spans="1:25" outlineLevel="1" x14ac:dyDescent="0.35">
      <c r="A157" s="259"/>
      <c r="B157" s="204"/>
      <c r="C157" s="258"/>
      <c r="D157" s="204"/>
      <c r="E157" s="258"/>
      <c r="F157" s="204"/>
      <c r="G157" s="204"/>
      <c r="H157" t="s">
        <v>88</v>
      </c>
      <c r="I157">
        <v>35</v>
      </c>
      <c r="J157">
        <v>35</v>
      </c>
      <c r="K157" s="37">
        <f>I157/I162</f>
        <v>70</v>
      </c>
      <c r="L157" s="204"/>
      <c r="M157" s="204"/>
      <c r="N157" s="204"/>
      <c r="O157" s="204"/>
      <c r="P157" s="204"/>
      <c r="Q157" s="204"/>
      <c r="R157" s="204"/>
      <c r="S157" s="204"/>
      <c r="T157" s="204"/>
      <c r="U157" s="204"/>
      <c r="V157" t="s">
        <v>88</v>
      </c>
      <c r="W157">
        <v>500</v>
      </c>
      <c r="X157">
        <v>35</v>
      </c>
      <c r="Y157" s="37">
        <f>W157/W162</f>
        <v>250</v>
      </c>
    </row>
    <row r="158" spans="1:25" outlineLevel="1" x14ac:dyDescent="0.35">
      <c r="A158" s="259"/>
      <c r="B158" s="204"/>
      <c r="C158" s="258"/>
      <c r="D158" s="204"/>
      <c r="E158" s="258"/>
      <c r="F158" s="204"/>
      <c r="G158" s="204"/>
      <c r="H158" t="s">
        <v>89</v>
      </c>
      <c r="I158" s="27">
        <v>0.03</v>
      </c>
      <c r="J158" s="27">
        <v>0.03</v>
      </c>
      <c r="K158" s="38">
        <f>IF(K162="1.25m",I158/I162-SUM($K$8,$K$16)/I162,I158/I162)</f>
        <v>0.06</v>
      </c>
      <c r="L158" s="204"/>
      <c r="M158" s="204"/>
      <c r="N158" s="204"/>
      <c r="O158" s="204"/>
      <c r="P158" s="204"/>
      <c r="Q158" s="204"/>
      <c r="R158" s="204"/>
      <c r="S158" s="204"/>
      <c r="T158" s="204"/>
      <c r="U158" s="204"/>
      <c r="V158" t="s">
        <v>89</v>
      </c>
      <c r="W158" s="27">
        <v>8.0000000000000002E-3</v>
      </c>
      <c r="X158" s="27">
        <v>0.03</v>
      </c>
      <c r="Y158" s="38">
        <f>IF(Y162="1.25m",W158/W162-SUM($K$8,$K$16)/W162,W158/W162)</f>
        <v>4.0000000000000001E-3</v>
      </c>
    </row>
    <row r="159" spans="1:25" outlineLevel="1" x14ac:dyDescent="0.35">
      <c r="A159" s="259"/>
      <c r="B159" s="204"/>
      <c r="C159" s="258"/>
      <c r="D159" s="204"/>
      <c r="E159" s="258"/>
      <c r="F159" s="204"/>
      <c r="G159" s="204"/>
      <c r="H159" t="s">
        <v>19</v>
      </c>
      <c r="I159">
        <v>3593.4</v>
      </c>
      <c r="J159">
        <v>3600</v>
      </c>
      <c r="K159" s="37">
        <f>I159/I162</f>
        <v>7186.8</v>
      </c>
      <c r="L159" s="204"/>
      <c r="M159" s="204"/>
      <c r="N159" s="204"/>
      <c r="O159" s="204"/>
      <c r="P159" s="204"/>
      <c r="Q159" s="204"/>
      <c r="R159" s="204"/>
      <c r="S159" s="204"/>
      <c r="T159" s="204"/>
      <c r="U159" s="204"/>
      <c r="V159" t="s">
        <v>19</v>
      </c>
      <c r="W159" s="28">
        <v>21350</v>
      </c>
      <c r="X159">
        <v>3600</v>
      </c>
      <c r="Y159" s="37">
        <f>W159/W162</f>
        <v>10675</v>
      </c>
    </row>
    <row r="160" spans="1:25" outlineLevel="1" x14ac:dyDescent="0.35">
      <c r="A160" s="259"/>
      <c r="B160" s="204"/>
      <c r="C160" s="258"/>
      <c r="D160" s="204"/>
      <c r="E160" s="258"/>
      <c r="F160" s="204"/>
      <c r="G160" s="204"/>
      <c r="H160" s="29" t="s">
        <v>313</v>
      </c>
      <c r="I160" s="30">
        <f>I157-INDEX(CommunityResourcePack[unitCost],MATCH(H159,CommunityResourcePack[name],0))*I159</f>
        <v>34.799358917600003</v>
      </c>
      <c r="J160" s="30">
        <f>J157-INDEX(CommunityResourcePack[unitCost],MATCH(H159,CommunityResourcePack[name],0))*J159</f>
        <v>34.798990400000001</v>
      </c>
      <c r="K160" s="30">
        <f>I160/I162</f>
        <v>69.598717835200006</v>
      </c>
      <c r="L160" s="204"/>
      <c r="M160" s="204"/>
      <c r="N160" s="204"/>
      <c r="O160" s="204"/>
      <c r="P160" s="204"/>
      <c r="Q160" s="204"/>
      <c r="R160" s="204"/>
      <c r="S160" s="204"/>
      <c r="T160" s="204"/>
      <c r="U160" s="204"/>
      <c r="V160" s="29" t="s">
        <v>313</v>
      </c>
      <c r="W160" s="30">
        <f>W157-INDEX(CommunityResourcePack[unitCost],MATCH(V159,CommunityResourcePack[name],0))*W159</f>
        <v>498.80790139999999</v>
      </c>
      <c r="X160" s="30">
        <f>X157-INDEX(CommunityResourcePack[unitCost],MATCH(V159,CommunityResourcePack[name],0))*X159</f>
        <v>34.798990400000001</v>
      </c>
      <c r="Y160" s="30">
        <f>W160/W162</f>
        <v>249.4039507</v>
      </c>
    </row>
    <row r="161" spans="1:35" outlineLevel="1" x14ac:dyDescent="0.35">
      <c r="A161" s="259"/>
      <c r="B161" s="204"/>
      <c r="C161" s="258"/>
      <c r="D161" s="204"/>
      <c r="E161" s="258"/>
      <c r="F161" s="204"/>
      <c r="G161" s="204"/>
      <c r="H161" s="29" t="s">
        <v>314</v>
      </c>
      <c r="I161" s="31">
        <f>I158+INDEX(CommunityResourcePack[density],MATCH(H159,CommunityResourcePack[name],0))*I159</f>
        <v>3.0323046659999998E-2</v>
      </c>
      <c r="J161" s="31">
        <f>J158+INDEX(CommunityResourcePack[density],MATCH(H159,CommunityResourcePack[name],0))*J159</f>
        <v>3.0323639999999999E-2</v>
      </c>
      <c r="K161" s="31">
        <f>IF(K162="1.25m",I161/I162-SUM($K$8,$K$16)/I162,I161/I162)</f>
        <v>6.0646093319999997E-2</v>
      </c>
      <c r="L161" s="204"/>
      <c r="M161" s="204"/>
      <c r="N161" s="204"/>
      <c r="O161" s="204"/>
      <c r="P161" s="204"/>
      <c r="Q161" s="204"/>
      <c r="R161" s="204"/>
      <c r="S161" s="204"/>
      <c r="T161" s="204"/>
      <c r="U161" s="204"/>
      <c r="V161" s="29" t="s">
        <v>314</v>
      </c>
      <c r="W161" s="31">
        <f>W158+INDEX(CommunityResourcePack[density],MATCH(V159,CommunityResourcePack[name],0))*W159</f>
        <v>9.9193649999999994E-3</v>
      </c>
      <c r="X161" s="31">
        <f>X158+INDEX(CommunityResourcePack[density],MATCH(V159,CommunityResourcePack[name],0))*X159</f>
        <v>3.0323639999999999E-2</v>
      </c>
      <c r="Y161" s="31">
        <f>IF(Y162="1.25m",W161/W162-SUM($K$8,$K$16)/W162,W161/W162)</f>
        <v>4.9596824999999997E-3</v>
      </c>
      <c r="Z161" s="204"/>
      <c r="AA161" s="204"/>
      <c r="AB161" s="204"/>
      <c r="AC161" s="204"/>
      <c r="AD161" s="204"/>
      <c r="AE161" s="204"/>
      <c r="AF161" s="204"/>
      <c r="AG161" s="204"/>
      <c r="AH161" s="204"/>
      <c r="AI161" s="204"/>
    </row>
    <row r="162" spans="1:35" outlineLevel="1" x14ac:dyDescent="0.35">
      <c r="A162" s="259"/>
      <c r="B162" s="204"/>
      <c r="C162" s="258"/>
      <c r="D162" s="204"/>
      <c r="E162" s="258"/>
      <c r="F162" s="204"/>
      <c r="G162" s="204"/>
      <c r="H162" s="33" t="s">
        <v>303</v>
      </c>
      <c r="I162" s="2">
        <v>0.5</v>
      </c>
      <c r="J162" s="34" t="s">
        <v>304</v>
      </c>
      <c r="K162" s="2" t="s">
        <v>45</v>
      </c>
      <c r="L162" s="204"/>
      <c r="M162" s="204"/>
      <c r="N162" s="204"/>
      <c r="O162" s="204"/>
      <c r="P162" s="204"/>
      <c r="Q162" s="204"/>
      <c r="R162" s="204"/>
      <c r="S162" s="204"/>
      <c r="T162" s="204"/>
      <c r="U162" s="204"/>
      <c r="V162" s="33" t="s">
        <v>303</v>
      </c>
      <c r="W162" s="2">
        <v>2</v>
      </c>
      <c r="X162" s="34" t="s">
        <v>304</v>
      </c>
      <c r="Y162" s="2" t="s">
        <v>45</v>
      </c>
      <c r="Z162" s="204"/>
      <c r="AA162" s="204"/>
      <c r="AB162" s="204"/>
      <c r="AC162" s="204"/>
      <c r="AD162" s="204"/>
      <c r="AE162" s="204"/>
      <c r="AF162" s="204"/>
      <c r="AG162" s="204"/>
      <c r="AH162" s="204"/>
      <c r="AI162" s="204"/>
    </row>
    <row r="163" spans="1:35" outlineLevel="1" x14ac:dyDescent="0.35">
      <c r="A163" s="259"/>
      <c r="B163" s="204"/>
      <c r="C163" s="258"/>
      <c r="D163" s="204"/>
      <c r="E163" s="258"/>
      <c r="F163" s="204"/>
      <c r="G163" s="204"/>
      <c r="H163" s="204"/>
      <c r="I163" s="204"/>
      <c r="J163" s="204"/>
      <c r="K163" s="204"/>
      <c r="L163" s="204"/>
      <c r="M163" s="204"/>
      <c r="N163" s="204"/>
      <c r="O163" s="204"/>
      <c r="P163" s="204"/>
      <c r="Q163" s="204"/>
      <c r="R163" s="204"/>
      <c r="S163" s="204"/>
      <c r="T163" s="204"/>
      <c r="U163" s="204"/>
      <c r="V163" s="204"/>
      <c r="W163" s="204"/>
      <c r="X163" s="204"/>
      <c r="Y163" s="204"/>
      <c r="Z163" s="204"/>
      <c r="AA163" s="204"/>
      <c r="AB163" s="204"/>
      <c r="AC163" s="204"/>
      <c r="AD163" s="204"/>
      <c r="AE163" s="204"/>
      <c r="AF163" s="204"/>
      <c r="AG163" s="204"/>
      <c r="AH163" s="204"/>
      <c r="AI163" s="204"/>
    </row>
    <row r="164" spans="1:35" ht="23.5" outlineLevel="1" x14ac:dyDescent="0.55000000000000004">
      <c r="A164" s="259"/>
      <c r="B164" s="204"/>
      <c r="C164" s="258"/>
      <c r="D164" s="204"/>
      <c r="E164" s="258"/>
      <c r="F164" s="204"/>
      <c r="G164" s="88" t="s">
        <v>346</v>
      </c>
      <c r="H164" s="204"/>
      <c r="I164" s="204"/>
      <c r="J164" s="204"/>
      <c r="K164" s="204"/>
      <c r="L164" s="204"/>
      <c r="M164" s="204"/>
      <c r="N164" s="204"/>
      <c r="O164" s="204"/>
      <c r="P164" s="204"/>
      <c r="Q164" s="204"/>
      <c r="R164" s="204"/>
      <c r="S164" s="204"/>
      <c r="T164" s="204"/>
      <c r="U164" s="88" t="s">
        <v>346</v>
      </c>
      <c r="V164" s="204"/>
      <c r="W164" s="204"/>
      <c r="X164" s="204"/>
      <c r="Y164" s="204"/>
      <c r="Z164" s="204"/>
      <c r="AA164" s="204"/>
      <c r="AB164" s="204"/>
      <c r="AC164" s="204"/>
      <c r="AD164" s="204"/>
      <c r="AE164" s="204"/>
      <c r="AF164" s="204"/>
      <c r="AG164" s="204"/>
      <c r="AH164" s="204"/>
      <c r="AI164" s="204"/>
    </row>
    <row r="165" spans="1:35" outlineLevel="1" x14ac:dyDescent="0.35">
      <c r="A165" s="259"/>
      <c r="B165" s="204"/>
      <c r="C165" s="258"/>
      <c r="D165" s="204"/>
      <c r="E165" s="258"/>
      <c r="F165" s="204"/>
      <c r="G165" s="204" t="s">
        <v>345</v>
      </c>
      <c r="H165" s="204"/>
      <c r="I165" s="204"/>
      <c r="J165" s="204"/>
      <c r="K165" s="204"/>
      <c r="L165" s="204"/>
      <c r="M165" s="204"/>
      <c r="N165" s="204"/>
      <c r="O165" s="204"/>
      <c r="P165" s="204"/>
      <c r="Q165" s="204"/>
      <c r="R165" s="204"/>
      <c r="S165" s="204"/>
      <c r="T165" s="204"/>
      <c r="U165" s="204" t="s">
        <v>320</v>
      </c>
      <c r="V165" s="204"/>
      <c r="W165" s="204"/>
      <c r="X165" s="204"/>
      <c r="Y165" s="204"/>
      <c r="Z165" s="204"/>
      <c r="AA165" s="204"/>
      <c r="AB165" s="204"/>
      <c r="AC165" s="204"/>
      <c r="AD165" s="204"/>
      <c r="AE165" s="204"/>
      <c r="AF165" s="204"/>
      <c r="AG165" s="204"/>
      <c r="AH165" s="204"/>
      <c r="AI165" s="204"/>
    </row>
    <row r="166" spans="1:35" outlineLevel="1" x14ac:dyDescent="0.35">
      <c r="A166" s="259"/>
      <c r="B166" s="204"/>
      <c r="C166" s="258"/>
      <c r="D166" s="204"/>
      <c r="E166" s="258"/>
      <c r="F166" s="204"/>
      <c r="G166" t="s">
        <v>339</v>
      </c>
      <c r="H166" s="204"/>
      <c r="I166" s="204"/>
      <c r="J166" s="204"/>
      <c r="K166" s="204"/>
      <c r="L166" s="204"/>
      <c r="M166" s="204"/>
      <c r="N166" s="204"/>
      <c r="O166" s="204"/>
      <c r="P166" s="204"/>
      <c r="Q166" s="204"/>
      <c r="R166" s="204"/>
      <c r="S166" s="204"/>
      <c r="T166" s="204"/>
      <c r="U166" t="s">
        <v>339</v>
      </c>
      <c r="V166" s="204"/>
      <c r="W166" s="204"/>
      <c r="X166" s="204"/>
      <c r="Y166" s="204"/>
      <c r="Z166" s="204"/>
      <c r="AA166" s="204"/>
      <c r="AB166" s="204"/>
      <c r="AC166" s="204"/>
      <c r="AD166" s="204"/>
      <c r="AE166" s="204"/>
      <c r="AF166" s="204"/>
      <c r="AG166" s="204"/>
      <c r="AH166" s="204"/>
      <c r="AI166" s="204"/>
    </row>
    <row r="167" spans="1:35" outlineLevel="1" x14ac:dyDescent="0.35">
      <c r="A167" s="259"/>
      <c r="B167" s="204"/>
      <c r="C167" s="258"/>
      <c r="D167" s="204"/>
      <c r="E167" s="258"/>
      <c r="F167" s="204"/>
      <c r="G167" s="204"/>
      <c r="H167" t="s">
        <v>300</v>
      </c>
      <c r="I167" t="s">
        <v>85</v>
      </c>
      <c r="J167" t="s">
        <v>301</v>
      </c>
      <c r="K167" t="s">
        <v>302</v>
      </c>
      <c r="L167" s="204"/>
      <c r="M167" s="204"/>
      <c r="N167" s="204"/>
      <c r="O167" s="204"/>
      <c r="P167" s="204"/>
      <c r="Q167" s="204"/>
      <c r="R167" s="204"/>
      <c r="S167" s="204"/>
      <c r="T167" s="204"/>
      <c r="U167" s="204"/>
      <c r="V167" t="s">
        <v>300</v>
      </c>
      <c r="W167" t="s">
        <v>86</v>
      </c>
      <c r="X167" t="s">
        <v>301</v>
      </c>
      <c r="Y167" t="s">
        <v>302</v>
      </c>
      <c r="Z167" s="204"/>
      <c r="AA167" s="204"/>
      <c r="AB167" s="204"/>
      <c r="AC167" s="204"/>
      <c r="AD167" s="204"/>
      <c r="AE167" s="204"/>
      <c r="AF167" s="204"/>
      <c r="AG167" s="204"/>
      <c r="AH167" s="204"/>
      <c r="AI167" s="204"/>
    </row>
    <row r="168" spans="1:35" outlineLevel="1" x14ac:dyDescent="0.35">
      <c r="A168" s="259"/>
      <c r="B168" s="204"/>
      <c r="C168" s="258"/>
      <c r="D168" s="204"/>
      <c r="E168" s="258"/>
      <c r="F168" s="204"/>
      <c r="G168" s="204"/>
      <c r="H168" t="s">
        <v>88</v>
      </c>
      <c r="I168">
        <v>35</v>
      </c>
      <c r="J168">
        <v>35</v>
      </c>
      <c r="K168" s="37">
        <f>I168/I173</f>
        <v>35</v>
      </c>
      <c r="L168" s="204"/>
      <c r="M168" s="204"/>
      <c r="N168" s="204"/>
      <c r="O168" s="204"/>
      <c r="P168" s="204"/>
      <c r="Q168" s="204"/>
      <c r="R168" s="204"/>
      <c r="S168" s="204"/>
      <c r="T168" s="204"/>
      <c r="U168" s="204"/>
      <c r="V168" t="s">
        <v>88</v>
      </c>
      <c r="W168">
        <v>500</v>
      </c>
      <c r="X168">
        <v>35</v>
      </c>
      <c r="Y168" s="37">
        <f>W168/W173</f>
        <v>250</v>
      </c>
      <c r="Z168" s="204"/>
      <c r="AA168" s="204"/>
      <c r="AB168" s="204"/>
      <c r="AC168" s="204"/>
      <c r="AD168" s="204"/>
      <c r="AE168" s="204"/>
      <c r="AF168" s="204"/>
      <c r="AG168" s="204"/>
      <c r="AH168" s="204"/>
      <c r="AI168" s="204"/>
    </row>
    <row r="169" spans="1:35" outlineLevel="1" x14ac:dyDescent="0.35">
      <c r="A169" s="259"/>
      <c r="B169" s="204"/>
      <c r="C169" s="258"/>
      <c r="D169" s="204"/>
      <c r="E169" s="258"/>
      <c r="F169" s="204"/>
      <c r="G169" s="204"/>
      <c r="H169" t="s">
        <v>89</v>
      </c>
      <c r="I169" s="27">
        <v>0.03</v>
      </c>
      <c r="J169" s="27">
        <v>0.03</v>
      </c>
      <c r="K169" s="38">
        <f>IF(K173="1.25m",I169/I173-SUM($K$8,$K$16)/I173,I169/I173)</f>
        <v>0.03</v>
      </c>
      <c r="L169" s="204"/>
      <c r="M169" s="204"/>
      <c r="N169" s="204"/>
      <c r="O169" s="204"/>
      <c r="P169" s="204"/>
      <c r="Q169" s="204"/>
      <c r="R169" s="204"/>
      <c r="S169" s="204"/>
      <c r="T169" s="204"/>
      <c r="U169" s="204"/>
      <c r="V169" t="s">
        <v>89</v>
      </c>
      <c r="W169" s="27">
        <v>7.6E-3</v>
      </c>
      <c r="X169" s="27">
        <v>0.03</v>
      </c>
      <c r="Y169" s="38">
        <f>IF(Y173="1.25m",W169/W173-SUM($K$8,$K$16)/W173,W169/W173)</f>
        <v>3.8E-3</v>
      </c>
      <c r="Z169" s="204"/>
      <c r="AA169" s="204"/>
      <c r="AB169" s="204"/>
      <c r="AC169" s="204"/>
      <c r="AD169" s="204"/>
      <c r="AE169" s="204"/>
      <c r="AF169" s="204"/>
      <c r="AG169" s="204"/>
      <c r="AH169" s="204"/>
      <c r="AI169" s="204"/>
    </row>
    <row r="170" spans="1:35" outlineLevel="1" x14ac:dyDescent="0.35">
      <c r="A170" s="259"/>
      <c r="B170" s="204"/>
      <c r="C170" s="258"/>
      <c r="D170" s="204"/>
      <c r="E170" s="258"/>
      <c r="F170" s="204"/>
      <c r="G170" s="204"/>
      <c r="H170" t="s">
        <v>23</v>
      </c>
      <c r="I170">
        <v>3593.4</v>
      </c>
      <c r="J170">
        <v>3600</v>
      </c>
      <c r="K170" s="37">
        <f>I170/I173</f>
        <v>3593.4</v>
      </c>
      <c r="L170" s="204"/>
      <c r="M170" s="204"/>
      <c r="N170" s="204"/>
      <c r="O170" s="204"/>
      <c r="P170" s="204"/>
      <c r="Q170" s="204"/>
      <c r="R170" s="204"/>
      <c r="S170" s="204"/>
      <c r="T170" s="204"/>
      <c r="U170" s="204"/>
      <c r="V170" t="s">
        <v>23</v>
      </c>
      <c r="W170" s="28">
        <v>6100</v>
      </c>
      <c r="X170">
        <v>3600</v>
      </c>
      <c r="Y170" s="37">
        <f>W170/W173</f>
        <v>3050</v>
      </c>
      <c r="Z170" s="204"/>
      <c r="AA170" s="204"/>
      <c r="AB170" s="204"/>
      <c r="AC170" s="204"/>
      <c r="AD170" s="204"/>
      <c r="AE170" s="204"/>
      <c r="AF170" s="204"/>
      <c r="AG170" s="204"/>
      <c r="AH170" s="204"/>
      <c r="AI170" s="204"/>
    </row>
    <row r="171" spans="1:35" outlineLevel="1" x14ac:dyDescent="0.35">
      <c r="A171" s="259"/>
      <c r="B171" s="204"/>
      <c r="C171" s="258"/>
      <c r="D171" s="204"/>
      <c r="E171" s="258"/>
      <c r="F171" s="204"/>
      <c r="G171" s="204"/>
      <c r="H171" s="29" t="s">
        <v>313</v>
      </c>
      <c r="I171" s="30">
        <f>I168-INDEX(CommunityResourcePack[unitCost],MATCH(H170,CommunityResourcePack[name],0))*I170</f>
        <v>34.799358917600003</v>
      </c>
      <c r="J171" s="30">
        <f>J168-INDEX(CommunityResourcePack[unitCost],MATCH(H170,CommunityResourcePack[name],0))*J170</f>
        <v>34.798990400000001</v>
      </c>
      <c r="K171" s="30">
        <f>I171/I173</f>
        <v>34.799358917600003</v>
      </c>
      <c r="L171" s="204"/>
      <c r="M171" s="204"/>
      <c r="N171" s="204"/>
      <c r="O171" s="204"/>
      <c r="P171" s="204"/>
      <c r="Q171" s="204"/>
      <c r="R171" s="204"/>
      <c r="S171" s="204"/>
      <c r="T171" s="204"/>
      <c r="U171" s="204"/>
      <c r="V171" s="29" t="s">
        <v>313</v>
      </c>
      <c r="W171" s="30">
        <f>W168-INDEX(CommunityResourcePack[unitCost],MATCH(V170,CommunityResourcePack[name],0))*W170</f>
        <v>499.65940039999998</v>
      </c>
      <c r="X171" s="30">
        <f>X168-INDEX(CommunityResourcePack[unitCost],MATCH(V170,CommunityResourcePack[name],0))*X170</f>
        <v>34.798990400000001</v>
      </c>
      <c r="Y171" s="30">
        <f>W171/W173</f>
        <v>249.82970019999999</v>
      </c>
      <c r="Z171" s="204"/>
      <c r="AA171" s="204"/>
      <c r="AB171" s="204"/>
      <c r="AC171" s="204"/>
      <c r="AD171" s="204"/>
      <c r="AE171" s="204"/>
      <c r="AF171" s="204"/>
      <c r="AG171" s="204"/>
      <c r="AH171" s="204"/>
      <c r="AI171" s="204"/>
    </row>
    <row r="172" spans="1:35" outlineLevel="1" x14ac:dyDescent="0.35">
      <c r="A172" s="259"/>
      <c r="B172" s="204"/>
      <c r="C172" s="258"/>
      <c r="D172" s="204"/>
      <c r="E172" s="258"/>
      <c r="F172" s="204"/>
      <c r="G172" s="204"/>
      <c r="H172" s="29" t="s">
        <v>314</v>
      </c>
      <c r="I172" s="31">
        <f>I169+INDEX(CommunityResourcePack[density],MATCH(H170,CommunityResourcePack[name],0))*I170</f>
        <v>3.5066693999999995E-2</v>
      </c>
      <c r="J172" s="31">
        <f>J169+INDEX(CommunityResourcePack[density],MATCH(H170,CommunityResourcePack[name],0))*J170</f>
        <v>3.5075999999999996E-2</v>
      </c>
      <c r="K172" s="31">
        <f>IF(K173="1.25m",I172/I173-SUM($K$8,$K$16)/I173,I172/I173)</f>
        <v>3.5066693999999995E-2</v>
      </c>
      <c r="L172" s="204"/>
      <c r="M172" s="204"/>
      <c r="N172" s="204"/>
      <c r="O172" s="204"/>
      <c r="P172" s="204"/>
      <c r="Q172" s="204"/>
      <c r="R172" s="204"/>
      <c r="S172" s="204"/>
      <c r="T172" s="204"/>
      <c r="U172" s="204"/>
      <c r="V172" s="29" t="s">
        <v>314</v>
      </c>
      <c r="W172" s="31">
        <f>W169+INDEX(CommunityResourcePack[density],MATCH(V170,CommunityResourcePack[name],0))*W170</f>
        <v>1.6201E-2</v>
      </c>
      <c r="X172" s="31">
        <f>X169+INDEX(CommunityResourcePack[density],MATCH(V170,CommunityResourcePack[name],0))*X170</f>
        <v>3.5075999999999996E-2</v>
      </c>
      <c r="Y172" s="31">
        <f>IF(Y173="1.25m",W172/W173-SUM($K$8,$K$16)/W173,W172/W173)</f>
        <v>8.1005000000000001E-3</v>
      </c>
      <c r="Z172" s="204"/>
      <c r="AA172" s="204"/>
      <c r="AB172" s="204"/>
      <c r="AC172" s="204"/>
      <c r="AD172" s="204"/>
      <c r="AE172" s="204"/>
      <c r="AF172" s="204"/>
      <c r="AG172" s="204"/>
      <c r="AH172" s="204"/>
      <c r="AI172" s="204"/>
    </row>
    <row r="173" spans="1:35" outlineLevel="1" x14ac:dyDescent="0.35">
      <c r="A173" s="259"/>
      <c r="B173" s="204"/>
      <c r="C173" s="258"/>
      <c r="D173" s="204"/>
      <c r="E173" s="258"/>
      <c r="F173" s="204"/>
      <c r="G173" s="204"/>
      <c r="H173" s="33" t="s">
        <v>303</v>
      </c>
      <c r="I173" s="2">
        <v>1</v>
      </c>
      <c r="J173" s="34" t="s">
        <v>304</v>
      </c>
      <c r="K173" s="2" t="s">
        <v>45</v>
      </c>
      <c r="L173" s="204"/>
      <c r="M173" s="204"/>
      <c r="N173" s="204"/>
      <c r="O173" s="204"/>
      <c r="P173" s="204"/>
      <c r="Q173" s="204"/>
      <c r="R173" s="204"/>
      <c r="S173" s="204"/>
      <c r="T173" s="204"/>
      <c r="U173" s="204"/>
      <c r="V173" s="33" t="s">
        <v>303</v>
      </c>
      <c r="W173" s="2">
        <v>2</v>
      </c>
      <c r="X173" s="34" t="s">
        <v>304</v>
      </c>
      <c r="Y173" s="2" t="s">
        <v>45</v>
      </c>
      <c r="Z173" s="204"/>
      <c r="AA173" s="204"/>
      <c r="AB173" s="204"/>
      <c r="AC173" s="204"/>
      <c r="AD173" s="204"/>
      <c r="AE173" s="204"/>
      <c r="AF173" s="204"/>
      <c r="AG173" s="204"/>
      <c r="AH173" s="204"/>
      <c r="AI173" s="204"/>
    </row>
    <row r="174" spans="1:35" outlineLevel="1" x14ac:dyDescent="0.35">
      <c r="A174" s="259"/>
      <c r="B174" s="204"/>
      <c r="C174" s="258"/>
      <c r="D174" s="204"/>
      <c r="E174" s="258"/>
      <c r="F174" s="204"/>
      <c r="G174" s="204"/>
      <c r="H174" s="204"/>
      <c r="I174" s="204"/>
      <c r="J174" s="204"/>
      <c r="K174" s="204"/>
      <c r="L174" s="204"/>
      <c r="M174" s="204"/>
      <c r="N174" s="204"/>
      <c r="O174" s="204"/>
      <c r="P174" s="204"/>
      <c r="Q174" s="204"/>
      <c r="R174" s="204"/>
      <c r="S174" s="204"/>
      <c r="T174" s="204"/>
      <c r="U174" s="204"/>
      <c r="V174" s="204"/>
      <c r="W174" s="204"/>
      <c r="X174" s="204"/>
      <c r="Y174" s="204"/>
      <c r="Z174" s="204"/>
      <c r="AA174" s="204"/>
      <c r="AB174" s="204"/>
      <c r="AC174" s="204"/>
      <c r="AD174" s="204"/>
      <c r="AE174" s="204"/>
      <c r="AF174" s="204"/>
      <c r="AG174" s="204"/>
      <c r="AH174" s="204"/>
      <c r="AI174" s="204"/>
    </row>
    <row r="175" spans="1:35" ht="23.5" outlineLevel="1" x14ac:dyDescent="0.55000000000000004">
      <c r="A175" s="259"/>
      <c r="B175" s="204"/>
      <c r="C175" s="258"/>
      <c r="D175" s="204"/>
      <c r="E175" s="258"/>
      <c r="F175" s="204"/>
      <c r="G175" s="204"/>
      <c r="H175" s="204"/>
      <c r="I175" s="204"/>
      <c r="J175" s="204"/>
      <c r="K175" s="204"/>
      <c r="L175" s="204"/>
      <c r="M175" s="204"/>
      <c r="N175" s="88" t="s">
        <v>347</v>
      </c>
      <c r="O175" s="204"/>
      <c r="P175" s="204"/>
      <c r="Q175" s="204"/>
      <c r="R175" s="204"/>
      <c r="S175" s="204"/>
      <c r="T175" s="204"/>
      <c r="U175" s="88" t="s">
        <v>347</v>
      </c>
      <c r="V175" s="204"/>
      <c r="W175" s="204"/>
      <c r="X175" s="204"/>
      <c r="Y175" s="204"/>
      <c r="Z175" s="204"/>
      <c r="AA175" s="204"/>
      <c r="AB175" s="88" t="s">
        <v>348</v>
      </c>
      <c r="AC175" s="204"/>
      <c r="AD175" s="204"/>
      <c r="AE175" s="204"/>
      <c r="AF175" s="204"/>
      <c r="AG175" s="204"/>
      <c r="AH175" s="204"/>
      <c r="AI175" s="88" t="s">
        <v>349</v>
      </c>
    </row>
    <row r="176" spans="1:35" outlineLevel="1" x14ac:dyDescent="0.35">
      <c r="A176" s="259"/>
      <c r="B176" s="204"/>
      <c r="C176" s="258"/>
      <c r="D176" s="204"/>
      <c r="E176" s="258"/>
      <c r="F176" s="204"/>
      <c r="G176" s="204"/>
      <c r="H176" s="204"/>
      <c r="I176" s="204"/>
      <c r="J176" s="204"/>
      <c r="K176" s="204"/>
      <c r="L176" s="204"/>
      <c r="M176" s="204"/>
      <c r="N176" s="204" t="s">
        <v>350</v>
      </c>
      <c r="O176" s="204"/>
      <c r="P176" s="204"/>
      <c r="Q176" s="204"/>
      <c r="R176" s="204"/>
      <c r="S176" s="204"/>
      <c r="T176" s="204"/>
      <c r="U176" s="204" t="s">
        <v>351</v>
      </c>
      <c r="V176" s="204"/>
      <c r="W176" s="204"/>
      <c r="X176" s="204"/>
      <c r="Y176" s="204"/>
      <c r="Z176" s="204"/>
      <c r="AA176" s="204"/>
      <c r="AB176" s="204" t="s">
        <v>352</v>
      </c>
      <c r="AC176" s="204"/>
      <c r="AD176" s="204"/>
      <c r="AE176" s="204"/>
      <c r="AF176" s="204"/>
      <c r="AG176" s="204"/>
      <c r="AH176" s="204"/>
      <c r="AI176" s="204" t="s">
        <v>353</v>
      </c>
    </row>
    <row r="177" spans="1:39" outlineLevel="1" x14ac:dyDescent="0.35">
      <c r="A177" s="259"/>
      <c r="B177" s="204"/>
      <c r="C177" s="258"/>
      <c r="D177" s="204"/>
      <c r="E177" s="258"/>
      <c r="F177" s="204"/>
      <c r="G177" s="204"/>
      <c r="H177" s="204"/>
      <c r="I177" s="204"/>
      <c r="J177" s="204"/>
      <c r="K177" s="204"/>
      <c r="L177" s="204"/>
      <c r="M177" s="204"/>
      <c r="N177" t="s">
        <v>339</v>
      </c>
      <c r="O177" s="204"/>
      <c r="P177" s="204"/>
      <c r="Q177" s="204"/>
      <c r="R177" s="204"/>
      <c r="S177" s="204"/>
      <c r="T177" s="204"/>
      <c r="U177" t="s">
        <v>339</v>
      </c>
      <c r="V177" s="204"/>
      <c r="W177" s="204"/>
      <c r="X177" s="204"/>
      <c r="Y177" s="204"/>
      <c r="Z177" s="204"/>
      <c r="AA177" s="204"/>
      <c r="AB177" t="s">
        <v>339</v>
      </c>
      <c r="AC177" s="204"/>
      <c r="AD177" s="204"/>
      <c r="AE177" s="204"/>
      <c r="AF177" s="204"/>
      <c r="AG177" s="204"/>
      <c r="AH177" s="204"/>
      <c r="AI177" t="s">
        <v>339</v>
      </c>
      <c r="AJ177" s="204"/>
      <c r="AK177" s="204"/>
      <c r="AL177" s="204"/>
      <c r="AM177" s="204"/>
    </row>
    <row r="178" spans="1:39" outlineLevel="1" x14ac:dyDescent="0.35">
      <c r="A178" s="259"/>
      <c r="B178" s="204"/>
      <c r="C178" s="258"/>
      <c r="D178" s="204"/>
      <c r="E178" s="258"/>
      <c r="F178" s="204"/>
      <c r="G178" s="204"/>
      <c r="H178" s="204"/>
      <c r="I178" s="204"/>
      <c r="J178" s="204"/>
      <c r="K178" s="204"/>
      <c r="L178" s="204"/>
      <c r="M178" s="204"/>
      <c r="N178" s="204"/>
      <c r="O178" t="s">
        <v>300</v>
      </c>
      <c r="P178" t="s">
        <v>105</v>
      </c>
      <c r="Q178" t="s">
        <v>301</v>
      </c>
      <c r="R178" t="s">
        <v>302</v>
      </c>
      <c r="S178" s="204"/>
      <c r="T178" s="204"/>
      <c r="U178" s="204"/>
      <c r="V178" t="s">
        <v>300</v>
      </c>
      <c r="W178" t="s">
        <v>86</v>
      </c>
      <c r="X178" t="s">
        <v>301</v>
      </c>
      <c r="Y178" t="s">
        <v>302</v>
      </c>
      <c r="Z178" s="204"/>
      <c r="AA178" s="204"/>
      <c r="AB178" s="204"/>
      <c r="AC178" t="s">
        <v>300</v>
      </c>
      <c r="AD178" t="s">
        <v>279</v>
      </c>
      <c r="AE178" t="s">
        <v>301</v>
      </c>
      <c r="AF178" t="s">
        <v>302</v>
      </c>
      <c r="AG178" s="204"/>
      <c r="AH178" s="204"/>
      <c r="AI178" s="204"/>
      <c r="AJ178" t="s">
        <v>300</v>
      </c>
      <c r="AK178" t="s">
        <v>329</v>
      </c>
      <c r="AL178" t="s">
        <v>301</v>
      </c>
      <c r="AM178" t="s">
        <v>302</v>
      </c>
    </row>
    <row r="179" spans="1:39" outlineLevel="1" x14ac:dyDescent="0.35">
      <c r="A179" s="259"/>
      <c r="B179" s="204"/>
      <c r="C179" s="258"/>
      <c r="D179" s="204"/>
      <c r="E179" s="258"/>
      <c r="F179" s="204"/>
      <c r="G179" s="204"/>
      <c r="H179" s="204"/>
      <c r="I179" s="204"/>
      <c r="J179" s="204"/>
      <c r="K179" s="204"/>
      <c r="L179" s="204"/>
      <c r="M179" s="204"/>
      <c r="N179" s="204"/>
      <c r="O179" t="s">
        <v>88</v>
      </c>
      <c r="P179">
        <v>35</v>
      </c>
      <c r="Q179">
        <v>35</v>
      </c>
      <c r="R179" s="37">
        <f>P179/P184</f>
        <v>31.818181818181817</v>
      </c>
      <c r="S179" s="204"/>
      <c r="T179" s="204"/>
      <c r="U179" s="204"/>
      <c r="V179" t="s">
        <v>88</v>
      </c>
      <c r="W179">
        <v>300</v>
      </c>
      <c r="X179">
        <v>35</v>
      </c>
      <c r="Y179" s="37">
        <f>W179/W184</f>
        <v>18.75</v>
      </c>
      <c r="Z179" s="204"/>
      <c r="AA179" s="204"/>
      <c r="AB179" s="204"/>
      <c r="AC179" t="s">
        <v>88</v>
      </c>
      <c r="AD179">
        <v>450</v>
      </c>
      <c r="AE179">
        <v>35</v>
      </c>
      <c r="AF179" s="37">
        <f>AD179/AD184</f>
        <v>45</v>
      </c>
      <c r="AG179" s="204"/>
      <c r="AH179" s="204"/>
      <c r="AI179" s="204"/>
      <c r="AJ179" t="s">
        <v>88</v>
      </c>
      <c r="AK179">
        <v>250</v>
      </c>
      <c r="AL179">
        <v>35</v>
      </c>
      <c r="AM179" s="37">
        <f>AK179/AK184</f>
        <v>38.46153846153846</v>
      </c>
    </row>
    <row r="180" spans="1:39" outlineLevel="1" x14ac:dyDescent="0.35">
      <c r="A180" s="259"/>
      <c r="B180" s="204"/>
      <c r="C180" s="258"/>
      <c r="D180" s="204"/>
      <c r="E180" s="258"/>
      <c r="F180" s="204"/>
      <c r="G180" s="204"/>
      <c r="H180" s="204"/>
      <c r="I180" s="204"/>
      <c r="J180" s="204"/>
      <c r="K180" s="204"/>
      <c r="L180" s="204"/>
      <c r="M180" s="204"/>
      <c r="N180" s="204"/>
      <c r="O180" t="s">
        <v>89</v>
      </c>
      <c r="P180" s="27">
        <v>0.03</v>
      </c>
      <c r="Q180" s="27">
        <v>0.03</v>
      </c>
      <c r="R180" s="38">
        <f>IF(R184="1.25m",P180/P184-SUM($K$8,$K$16)/P184,P180/P184)</f>
        <v>2.7272727272727268E-2</v>
      </c>
      <c r="S180" s="204"/>
      <c r="T180" s="204"/>
      <c r="U180" s="204"/>
      <c r="V180" t="s">
        <v>89</v>
      </c>
      <c r="W180" s="27">
        <v>0.2</v>
      </c>
      <c r="X180" s="27">
        <v>0.03</v>
      </c>
      <c r="Y180" s="38">
        <f>IF(Y184="1.25m",W180/W184-SUM($K$8,$K$16)/W184,W180/W184)</f>
        <v>1.2500000000000001E-2</v>
      </c>
      <c r="Z180" s="204"/>
      <c r="AA180" s="204"/>
      <c r="AB180" s="204"/>
      <c r="AC180" t="s">
        <v>89</v>
      </c>
      <c r="AD180" s="27">
        <v>0.15</v>
      </c>
      <c r="AE180" s="27">
        <v>0.03</v>
      </c>
      <c r="AF180" s="38">
        <f>IF(AF184="1.25m",AD180/AD184-SUM($K$8,$K$16)/AD184,AD180/AD184)</f>
        <v>1.4999999999999999E-2</v>
      </c>
      <c r="AG180" s="204"/>
      <c r="AH180" s="204"/>
      <c r="AI180" s="204"/>
      <c r="AJ180" t="s">
        <v>89</v>
      </c>
      <c r="AK180" s="27">
        <v>0.12</v>
      </c>
      <c r="AL180" s="27">
        <v>0.03</v>
      </c>
      <c r="AM180" s="38">
        <f>IF(AM184="1.25m",AK180/AK184-SUM($K$8,$K$16)/AK184,AK180/AK184)</f>
        <v>1.846153846153846E-2</v>
      </c>
    </row>
    <row r="181" spans="1:39" outlineLevel="1" x14ac:dyDescent="0.35">
      <c r="A181" s="259"/>
      <c r="B181" s="204"/>
      <c r="C181" s="258"/>
      <c r="D181" s="204"/>
      <c r="E181" s="258"/>
      <c r="F181" s="204"/>
      <c r="G181" s="204"/>
      <c r="H181" s="204"/>
      <c r="I181" s="204"/>
      <c r="J181" s="204"/>
      <c r="K181" s="204"/>
      <c r="L181" s="204"/>
      <c r="M181" s="204"/>
      <c r="N181" s="204"/>
      <c r="O181" t="s">
        <v>73</v>
      </c>
      <c r="P181">
        <v>16.2</v>
      </c>
      <c r="Q181">
        <v>16.2</v>
      </c>
      <c r="R181" s="37">
        <f>P181/P184</f>
        <v>14.727272727272725</v>
      </c>
      <c r="S181" s="204"/>
      <c r="T181" s="204"/>
      <c r="U181" s="204"/>
      <c r="V181" t="s">
        <v>73</v>
      </c>
      <c r="W181">
        <v>240</v>
      </c>
      <c r="X181">
        <v>16.2</v>
      </c>
      <c r="Y181" s="37">
        <f>W181/W184</f>
        <v>15</v>
      </c>
      <c r="Z181" s="204"/>
      <c r="AA181" s="204"/>
      <c r="AB181" s="204"/>
      <c r="AC181" t="s">
        <v>279</v>
      </c>
      <c r="AD181">
        <v>150</v>
      </c>
      <c r="AE181">
        <v>50</v>
      </c>
      <c r="AF181" s="37">
        <f>AD181/AD184</f>
        <v>15</v>
      </c>
      <c r="AG181" s="204"/>
      <c r="AH181" s="204"/>
      <c r="AI181" s="204"/>
      <c r="AJ181" t="s">
        <v>262</v>
      </c>
      <c r="AK181">
        <v>100</v>
      </c>
      <c r="AL181">
        <v>50</v>
      </c>
      <c r="AM181" s="37">
        <f>AK181/AK184</f>
        <v>15.384615384615385</v>
      </c>
    </row>
    <row r="182" spans="1:39" outlineLevel="1" x14ac:dyDescent="0.35">
      <c r="A182" s="259"/>
      <c r="B182" s="204"/>
      <c r="C182" s="258"/>
      <c r="D182" s="204"/>
      <c r="E182" s="258"/>
      <c r="F182" s="204"/>
      <c r="G182" s="204"/>
      <c r="H182" s="204"/>
      <c r="I182" s="204"/>
      <c r="J182" s="204"/>
      <c r="K182" s="204"/>
      <c r="L182" s="204"/>
      <c r="M182" s="204"/>
      <c r="N182" s="204"/>
      <c r="O182" s="29" t="s">
        <v>313</v>
      </c>
      <c r="P182" s="30">
        <f>P179-INDEX(CommunityResourcePack[unitCost],MATCH(O181,CommunityResourcePack[name],0))*P181</f>
        <v>31.130229846153846</v>
      </c>
      <c r="Q182" s="30">
        <f>Q179-INDEX(CommunityResourcePack[unitCost],MATCH(O181,CommunityResourcePack[name],0))*Q181</f>
        <v>31.130229846153846</v>
      </c>
      <c r="R182" s="30">
        <f>P182/P184</f>
        <v>28.300208951048948</v>
      </c>
      <c r="S182" s="204"/>
      <c r="T182" s="204"/>
      <c r="U182" s="204"/>
      <c r="V182" s="29" t="s">
        <v>313</v>
      </c>
      <c r="W182" s="30">
        <f>W179-INDEX(CommunityResourcePack[unitCost],MATCH(V181,CommunityResourcePack[name],0))*W181</f>
        <v>242.67007179487177</v>
      </c>
      <c r="X182" s="30">
        <f>X179-INDEX(CommunityResourcePack[unitCost],MATCH(V181,CommunityResourcePack[name],0))*X181</f>
        <v>31.130229846153846</v>
      </c>
      <c r="Y182" s="30">
        <f>W182/W184</f>
        <v>15.166879487179486</v>
      </c>
      <c r="Z182" s="204"/>
      <c r="AA182" s="204"/>
      <c r="AB182" s="204"/>
      <c r="AC182" s="29" t="s">
        <v>313</v>
      </c>
      <c r="AD182" s="30">
        <f>AD179-INDEX(CommunityResourcePack[unitCost],MATCH(AC181,CommunityResourcePack[name],0))*AD181</f>
        <v>375</v>
      </c>
      <c r="AE182" s="30">
        <f>AE179-INDEX(CommunityResourcePack[unitCost],MATCH(AC181,CommunityResourcePack[name],0))*AE181</f>
        <v>10</v>
      </c>
      <c r="AF182" s="30">
        <f>AD182/AD184</f>
        <v>37.5</v>
      </c>
      <c r="AG182" s="204"/>
      <c r="AH182" s="204"/>
      <c r="AI182" s="204"/>
      <c r="AJ182" s="29" t="s">
        <v>313</v>
      </c>
      <c r="AK182" s="30">
        <f>AK179-INDEX(CommunityResourcePack[unitCost],MATCH(AJ181,CommunityResourcePack[name],0))*AK181</f>
        <v>0</v>
      </c>
      <c r="AL182" s="30">
        <f>AL179-INDEX(CommunityResourcePack[unitCost],MATCH(AJ181,CommunityResourcePack[name],0))*AL181</f>
        <v>-90</v>
      </c>
      <c r="AM182" s="30">
        <f>AK182/AK184</f>
        <v>0</v>
      </c>
    </row>
    <row r="183" spans="1:39" outlineLevel="1" x14ac:dyDescent="0.35">
      <c r="A183" s="259"/>
      <c r="B183" s="204"/>
      <c r="C183" s="258"/>
      <c r="D183" s="204"/>
      <c r="E183" s="258"/>
      <c r="F183" s="204"/>
      <c r="G183" s="204"/>
      <c r="H183" s="204"/>
      <c r="I183" s="204"/>
      <c r="J183" s="204"/>
      <c r="K183" s="204"/>
      <c r="L183" s="204"/>
      <c r="M183" s="204"/>
      <c r="N183" s="204"/>
      <c r="O183" s="29" t="s">
        <v>314</v>
      </c>
      <c r="P183" s="31">
        <f>P180+INDEX(CommunityResourcePack[density],MATCH(O181,CommunityResourcePack[name],0))*P181</f>
        <v>3.455267076923077E-2</v>
      </c>
      <c r="Q183" s="31">
        <f>Q180+INDEX(CommunityResourcePack[density],MATCH(O181,CommunityResourcePack[name],0))*Q181</f>
        <v>3.455267076923077E-2</v>
      </c>
      <c r="R183" s="31">
        <f>IF(R184="1.25m",P183/P184-SUM($K$8,$K$16)/P184,P183/P184)</f>
        <v>3.1411518881118879E-2</v>
      </c>
      <c r="S183" s="204"/>
      <c r="T183" s="204"/>
      <c r="U183" s="204"/>
      <c r="V183" s="29" t="s">
        <v>314</v>
      </c>
      <c r="W183" s="31">
        <f>W180+INDEX(CommunityResourcePack[density],MATCH(V181,CommunityResourcePack[name],0))*W181</f>
        <v>0.26744697435897441</v>
      </c>
      <c r="X183" s="31">
        <f>X180+INDEX(CommunityResourcePack[density],MATCH(V181,CommunityResourcePack[name],0))*X181</f>
        <v>3.455267076923077E-2</v>
      </c>
      <c r="Y183" s="31">
        <f>IF(Y184="1.25m",W183/W184-SUM($K$8,$K$16)/W184,W183/W184)</f>
        <v>1.6715435897435901E-2</v>
      </c>
      <c r="Z183" s="204"/>
      <c r="AA183" s="204"/>
      <c r="AB183" s="204"/>
      <c r="AC183" s="29" t="s">
        <v>314</v>
      </c>
      <c r="AD183" s="31">
        <f>AD180+INDEX(CommunityResourcePack[density],MATCH(AC181,CommunityResourcePack[name],0))*AD181</f>
        <v>0.3</v>
      </c>
      <c r="AE183" s="31">
        <f>AE180+INDEX(CommunityResourcePack[density],MATCH(AC181,CommunityResourcePack[name],0))*AE181</f>
        <v>0.08</v>
      </c>
      <c r="AF183" s="31">
        <f>IF(AF184="1.25m",AD183/AD184-SUM($K$8,$K$16)/AD184,AD183/AD184)</f>
        <v>0.03</v>
      </c>
      <c r="AG183" s="204"/>
      <c r="AH183" s="204"/>
      <c r="AI183" s="204"/>
      <c r="AJ183" s="29" t="s">
        <v>314</v>
      </c>
      <c r="AK183" s="31">
        <f>AK180+INDEX(CommunityResourcePack[density],MATCH(AJ181,CommunityResourcePack[name],0))*AK181</f>
        <v>0.22</v>
      </c>
      <c r="AL183" s="31">
        <f>AL180+INDEX(CommunityResourcePack[density],MATCH(AJ181,CommunityResourcePack[name],0))*AL181</f>
        <v>0.08</v>
      </c>
      <c r="AM183" s="31">
        <f>IF(AM184="1.25m",AK183/AK184-SUM($K$8,$K$16)/AK184,AK183/AK184)</f>
        <v>3.3846153846153845E-2</v>
      </c>
    </row>
    <row r="184" spans="1:39" outlineLevel="1" x14ac:dyDescent="0.35">
      <c r="A184" s="259"/>
      <c r="B184" s="204"/>
      <c r="C184" s="258"/>
      <c r="D184" s="204"/>
      <c r="E184" s="258"/>
      <c r="F184" s="204"/>
      <c r="G184" s="204"/>
      <c r="H184" s="204"/>
      <c r="I184" s="204"/>
      <c r="J184" s="204"/>
      <c r="K184" s="204"/>
      <c r="L184" s="204"/>
      <c r="M184" s="204"/>
      <c r="N184" s="204"/>
      <c r="O184" s="33" t="s">
        <v>303</v>
      </c>
      <c r="P184" s="2">
        <v>1.1000000000000001</v>
      </c>
      <c r="Q184" s="34" t="s">
        <v>304</v>
      </c>
      <c r="R184" s="2" t="s">
        <v>45</v>
      </c>
      <c r="S184" s="204"/>
      <c r="T184" s="204"/>
      <c r="U184" s="204"/>
      <c r="V184" s="33" t="s">
        <v>303</v>
      </c>
      <c r="W184" s="2">
        <v>16</v>
      </c>
      <c r="X184" s="34" t="s">
        <v>304</v>
      </c>
      <c r="Y184" s="2" t="s">
        <v>45</v>
      </c>
      <c r="Z184" s="204"/>
      <c r="AA184" s="204"/>
      <c r="AB184" s="204"/>
      <c r="AC184" s="33" t="s">
        <v>303</v>
      </c>
      <c r="AD184" s="2">
        <v>10</v>
      </c>
      <c r="AE184" s="34" t="s">
        <v>304</v>
      </c>
      <c r="AF184" s="2" t="s">
        <v>45</v>
      </c>
      <c r="AG184" s="204"/>
      <c r="AH184" s="204"/>
      <c r="AI184" s="204"/>
      <c r="AJ184" s="33" t="s">
        <v>303</v>
      </c>
      <c r="AK184" s="2">
        <v>6.5</v>
      </c>
      <c r="AL184" s="34" t="s">
        <v>304</v>
      </c>
      <c r="AM184" s="2" t="s">
        <v>45</v>
      </c>
    </row>
    <row r="185" spans="1:39" outlineLevel="1" x14ac:dyDescent="0.35">
      <c r="A185" s="259"/>
      <c r="B185" s="204"/>
      <c r="C185" s="258"/>
      <c r="D185" s="204"/>
      <c r="E185" s="258"/>
      <c r="F185" s="204"/>
      <c r="G185" s="204"/>
      <c r="H185" s="204"/>
      <c r="I185" s="204"/>
      <c r="J185" s="204"/>
      <c r="K185" s="204"/>
      <c r="L185" s="204"/>
      <c r="M185" s="204"/>
      <c r="N185" s="204"/>
      <c r="O185" s="204"/>
      <c r="P185" s="204"/>
      <c r="Q185" s="204"/>
      <c r="R185" s="204"/>
      <c r="S185" s="204"/>
      <c r="T185" s="204"/>
      <c r="U185" s="204"/>
      <c r="V185" s="204"/>
      <c r="W185" s="204"/>
      <c r="X185" s="204"/>
      <c r="Y185" s="204"/>
      <c r="Z185" s="204"/>
      <c r="AA185" s="204"/>
      <c r="AB185" s="204"/>
      <c r="AC185" s="204"/>
      <c r="AD185" s="204"/>
      <c r="AE185" s="204"/>
      <c r="AF185" s="204"/>
      <c r="AG185" s="204"/>
      <c r="AH185" s="204"/>
      <c r="AI185" s="204"/>
      <c r="AJ185" s="204"/>
      <c r="AK185" s="204"/>
      <c r="AL185" s="204"/>
      <c r="AM185" s="204"/>
    </row>
    <row r="186" spans="1:39" ht="23.5" outlineLevel="1" x14ac:dyDescent="0.55000000000000004">
      <c r="A186" s="259"/>
      <c r="B186" s="204"/>
      <c r="C186" s="258"/>
      <c r="D186" s="204"/>
      <c r="E186" s="258"/>
      <c r="F186" s="204"/>
      <c r="G186" s="204"/>
      <c r="H186" s="204"/>
      <c r="I186" s="204"/>
      <c r="J186" s="204"/>
      <c r="K186" s="204"/>
      <c r="L186" s="204"/>
      <c r="M186" s="204"/>
      <c r="N186" s="88" t="s">
        <v>354</v>
      </c>
      <c r="O186" s="204"/>
      <c r="P186" s="204"/>
      <c r="Q186" s="204"/>
      <c r="R186" s="204"/>
      <c r="S186" s="204"/>
      <c r="T186" s="204"/>
      <c r="U186" s="88" t="s">
        <v>354</v>
      </c>
      <c r="V186" s="204"/>
      <c r="W186" s="204"/>
      <c r="X186" s="204"/>
      <c r="Y186" s="204"/>
      <c r="Z186" s="204"/>
      <c r="AA186" s="204"/>
      <c r="AB186" s="204"/>
      <c r="AC186" s="204"/>
      <c r="AD186" s="204"/>
      <c r="AE186" s="204"/>
      <c r="AF186" s="204"/>
      <c r="AG186" s="204"/>
      <c r="AH186" s="204"/>
      <c r="AI186" s="204"/>
      <c r="AJ186" s="204"/>
      <c r="AK186" s="204"/>
      <c r="AL186" s="204"/>
      <c r="AM186" s="204"/>
    </row>
    <row r="187" spans="1:39" outlineLevel="1" x14ac:dyDescent="0.35">
      <c r="A187" s="259"/>
      <c r="B187" s="204"/>
      <c r="C187" s="258"/>
      <c r="D187" s="204"/>
      <c r="E187" s="258"/>
      <c r="F187" s="204"/>
      <c r="G187" s="204"/>
      <c r="H187" s="204"/>
      <c r="I187" s="204"/>
      <c r="J187" s="204"/>
      <c r="K187" s="204"/>
      <c r="L187" s="204"/>
      <c r="M187" s="204"/>
      <c r="N187" s="204" t="s">
        <v>350</v>
      </c>
      <c r="O187" s="204"/>
      <c r="P187" s="204"/>
      <c r="Q187" s="204"/>
      <c r="R187" s="204"/>
      <c r="S187" s="204"/>
      <c r="T187" s="204"/>
      <c r="U187" s="204" t="s">
        <v>351</v>
      </c>
      <c r="V187" s="204"/>
      <c r="W187" s="204"/>
      <c r="X187" s="204"/>
      <c r="Y187" s="204"/>
      <c r="Z187" s="204"/>
      <c r="AA187" s="204"/>
      <c r="AB187" s="204"/>
      <c r="AC187" s="204"/>
      <c r="AD187" s="204"/>
      <c r="AE187" s="204"/>
      <c r="AF187" s="204"/>
      <c r="AG187" s="204"/>
      <c r="AH187" s="204"/>
      <c r="AI187" s="204"/>
      <c r="AJ187" s="204"/>
      <c r="AK187" s="204"/>
      <c r="AL187" s="204"/>
      <c r="AM187" s="204"/>
    </row>
    <row r="188" spans="1:39" outlineLevel="1" x14ac:dyDescent="0.35">
      <c r="A188" s="259"/>
      <c r="B188" s="204"/>
      <c r="C188" s="258"/>
      <c r="D188" s="204"/>
      <c r="E188" s="258"/>
      <c r="F188" s="204"/>
      <c r="G188" s="204"/>
      <c r="H188" s="204"/>
      <c r="I188" s="204"/>
      <c r="J188" s="204"/>
      <c r="K188" s="204"/>
      <c r="L188" s="204"/>
      <c r="M188" s="204"/>
      <c r="N188" t="s">
        <v>339</v>
      </c>
      <c r="O188" s="204"/>
      <c r="P188" s="204"/>
      <c r="Q188" s="204"/>
      <c r="R188" s="204"/>
      <c r="S188" s="204"/>
      <c r="T188" s="204"/>
      <c r="U188" t="s">
        <v>339</v>
      </c>
      <c r="V188" s="204"/>
      <c r="W188" s="204"/>
      <c r="X188" s="204"/>
      <c r="Y188" s="204"/>
      <c r="Z188" s="204"/>
      <c r="AA188" s="204"/>
      <c r="AB188" s="204"/>
      <c r="AC188" s="204"/>
      <c r="AD188" s="204"/>
      <c r="AE188" s="204"/>
      <c r="AF188" s="204"/>
      <c r="AG188" s="204"/>
      <c r="AH188" s="204"/>
      <c r="AI188" s="204"/>
      <c r="AJ188" s="204"/>
      <c r="AK188" s="204"/>
      <c r="AL188" s="204"/>
      <c r="AM188" s="204"/>
    </row>
    <row r="189" spans="1:39" outlineLevel="1" x14ac:dyDescent="0.35">
      <c r="A189" s="259"/>
      <c r="B189" s="204"/>
      <c r="C189" s="258"/>
      <c r="D189" s="204"/>
      <c r="E189" s="258"/>
      <c r="F189" s="204"/>
      <c r="G189" s="204"/>
      <c r="H189" s="204"/>
      <c r="I189" s="204"/>
      <c r="J189" s="204"/>
      <c r="K189" s="204"/>
      <c r="L189" s="204"/>
      <c r="M189" s="204"/>
      <c r="N189" s="204"/>
      <c r="O189" t="s">
        <v>300</v>
      </c>
      <c r="P189" t="s">
        <v>105</v>
      </c>
      <c r="Q189" t="s">
        <v>301</v>
      </c>
      <c r="R189" t="s">
        <v>302</v>
      </c>
      <c r="S189" s="204"/>
      <c r="T189" s="204"/>
      <c r="U189" s="204"/>
      <c r="V189" t="s">
        <v>300</v>
      </c>
      <c r="W189" t="s">
        <v>86</v>
      </c>
      <c r="X189" t="s">
        <v>301</v>
      </c>
      <c r="Y189" t="s">
        <v>302</v>
      </c>
      <c r="Z189" s="204"/>
      <c r="AA189" s="204"/>
      <c r="AB189" s="204"/>
      <c r="AC189" s="204"/>
      <c r="AD189" s="204"/>
      <c r="AE189" s="204"/>
      <c r="AF189" s="204"/>
      <c r="AG189" s="204"/>
      <c r="AH189" s="204"/>
      <c r="AI189" s="204"/>
      <c r="AJ189" s="204"/>
      <c r="AK189" s="204"/>
      <c r="AL189" s="204"/>
      <c r="AM189" s="204"/>
    </row>
    <row r="190" spans="1:39" outlineLevel="1" x14ac:dyDescent="0.35">
      <c r="A190" s="259"/>
      <c r="B190" s="204"/>
      <c r="C190" s="258"/>
      <c r="D190" s="204"/>
      <c r="E190" s="258"/>
      <c r="F190" s="204"/>
      <c r="G190" s="204"/>
      <c r="H190" s="204"/>
      <c r="I190" s="204"/>
      <c r="J190" s="204"/>
      <c r="K190" s="204"/>
      <c r="L190" s="204"/>
      <c r="M190" s="204"/>
      <c r="N190" s="204"/>
      <c r="O190" t="s">
        <v>88</v>
      </c>
      <c r="P190">
        <v>35</v>
      </c>
      <c r="Q190">
        <v>35</v>
      </c>
      <c r="R190" s="37">
        <f>P190/P195</f>
        <v>31.818181818181817</v>
      </c>
      <c r="S190" s="204"/>
      <c r="T190" s="204"/>
      <c r="U190" s="204"/>
      <c r="V190" t="s">
        <v>88</v>
      </c>
      <c r="W190">
        <v>300</v>
      </c>
      <c r="X190">
        <v>35</v>
      </c>
      <c r="Y190" s="37">
        <f>W190/W195</f>
        <v>18.75</v>
      </c>
      <c r="Z190" s="204"/>
      <c r="AA190" s="204"/>
      <c r="AB190" s="204"/>
      <c r="AC190" s="204"/>
      <c r="AD190" s="204"/>
      <c r="AE190" s="204"/>
      <c r="AF190" s="204"/>
      <c r="AG190" s="204"/>
      <c r="AH190" s="204"/>
      <c r="AI190" s="204"/>
      <c r="AJ190" s="204"/>
      <c r="AK190" s="204"/>
      <c r="AL190" s="204"/>
      <c r="AM190" s="204"/>
    </row>
    <row r="191" spans="1:39" outlineLevel="1" x14ac:dyDescent="0.35">
      <c r="A191" s="259"/>
      <c r="B191" s="204"/>
      <c r="C191" s="258"/>
      <c r="D191" s="204"/>
      <c r="E191" s="258"/>
      <c r="F191" s="204"/>
      <c r="G191" s="204"/>
      <c r="H191" s="204"/>
      <c r="I191" s="204"/>
      <c r="J191" s="204"/>
      <c r="K191" s="204"/>
      <c r="L191" s="204"/>
      <c r="M191" s="204"/>
      <c r="N191" s="204"/>
      <c r="O191" t="s">
        <v>89</v>
      </c>
      <c r="P191" s="27">
        <v>0.03</v>
      </c>
      <c r="Q191" s="27">
        <v>0.03</v>
      </c>
      <c r="R191" s="38">
        <f>IF(R195="1.25m",P191/P195-SUM($K$8,$K$16)/P195,P191/P195)</f>
        <v>2.7272727272727268E-2</v>
      </c>
      <c r="S191" s="204"/>
      <c r="T191" s="204"/>
      <c r="U191" s="204"/>
      <c r="V191" t="s">
        <v>89</v>
      </c>
      <c r="W191" s="27">
        <v>0.2</v>
      </c>
      <c r="X191" s="27">
        <v>0.03</v>
      </c>
      <c r="Y191" s="38">
        <f>IF(Y195="1.25m",W191/W195-SUM($K$8,$K$16)/W195,W191/W195)</f>
        <v>1.2500000000000001E-2</v>
      </c>
      <c r="Z191" s="204"/>
      <c r="AA191" s="204"/>
      <c r="AB191" s="204"/>
      <c r="AC191" s="204"/>
      <c r="AD191" s="204"/>
      <c r="AE191" s="204"/>
      <c r="AF191" s="204"/>
      <c r="AG191" s="204"/>
      <c r="AH191" s="204"/>
      <c r="AI191" s="204"/>
      <c r="AJ191" s="204"/>
      <c r="AK191" s="204"/>
      <c r="AL191" s="204"/>
      <c r="AM191" s="204"/>
    </row>
    <row r="192" spans="1:39" outlineLevel="1" x14ac:dyDescent="0.35">
      <c r="A192" s="259"/>
      <c r="B192" s="204"/>
      <c r="C192" s="258"/>
      <c r="D192" s="204"/>
      <c r="E192" s="258"/>
      <c r="F192" s="204"/>
      <c r="G192" s="204"/>
      <c r="H192" s="204"/>
      <c r="I192" s="204"/>
      <c r="J192" s="204"/>
      <c r="K192" s="204"/>
      <c r="L192" s="204"/>
      <c r="M192" s="204"/>
      <c r="N192" s="204"/>
      <c r="O192" t="s">
        <v>25</v>
      </c>
      <c r="P192">
        <v>16.2</v>
      </c>
      <c r="Q192">
        <v>16.2</v>
      </c>
      <c r="R192" s="37">
        <f>P192/P195</f>
        <v>14.727272727272725</v>
      </c>
      <c r="S192" s="204"/>
      <c r="T192" s="204"/>
      <c r="U192" s="204"/>
      <c r="V192" t="s">
        <v>25</v>
      </c>
      <c r="W192">
        <v>240</v>
      </c>
      <c r="X192">
        <v>16.2</v>
      </c>
      <c r="Y192" s="37">
        <f>W192/W195</f>
        <v>15</v>
      </c>
      <c r="Z192" s="204"/>
      <c r="AA192" s="204"/>
      <c r="AB192" s="204"/>
      <c r="AC192" s="204"/>
      <c r="AD192" s="204"/>
      <c r="AE192" s="204"/>
      <c r="AF192" s="204"/>
      <c r="AG192" s="204"/>
      <c r="AH192" s="204"/>
      <c r="AI192" s="204"/>
      <c r="AJ192" s="204"/>
      <c r="AK192" s="204"/>
      <c r="AL192" s="204"/>
      <c r="AM192" s="204"/>
    </row>
    <row r="193" spans="1:25" outlineLevel="1" x14ac:dyDescent="0.35">
      <c r="A193" s="259"/>
      <c r="B193" s="204"/>
      <c r="C193" s="258"/>
      <c r="D193" s="204"/>
      <c r="E193" s="258"/>
      <c r="F193" s="204"/>
      <c r="G193" s="204"/>
      <c r="H193" s="204"/>
      <c r="I193" s="204"/>
      <c r="J193" s="204"/>
      <c r="K193" s="204"/>
      <c r="L193" s="204"/>
      <c r="M193" s="204"/>
      <c r="N193" s="204"/>
      <c r="O193" s="29" t="s">
        <v>313</v>
      </c>
      <c r="P193" s="30">
        <f>P190-INDEX(CommunityResourcePack[unitCost],MATCH(O192,CommunityResourcePack[name],0))*P192</f>
        <v>34.98704</v>
      </c>
      <c r="Q193" s="30">
        <f>Q190-INDEX(CommunityResourcePack[unitCost],MATCH(O192,CommunityResourcePack[name],0))*Q192</f>
        <v>34.98704</v>
      </c>
      <c r="R193" s="30">
        <f>P193/P195</f>
        <v>31.806399999999996</v>
      </c>
      <c r="S193" s="204"/>
      <c r="T193" s="204"/>
      <c r="U193" s="204"/>
      <c r="V193" s="29" t="s">
        <v>313</v>
      </c>
      <c r="W193" s="30">
        <f>W190-INDEX(CommunityResourcePack[unitCost],MATCH(V192,CommunityResourcePack[name],0))*W192</f>
        <v>299.80799999999999</v>
      </c>
      <c r="X193" s="30">
        <f>X190-INDEX(CommunityResourcePack[unitCost],MATCH(V192,CommunityResourcePack[name],0))*X192</f>
        <v>34.98704</v>
      </c>
      <c r="Y193" s="30">
        <f>W193/W195</f>
        <v>18.738</v>
      </c>
    </row>
    <row r="194" spans="1:25" outlineLevel="1" x14ac:dyDescent="0.35">
      <c r="A194" s="259"/>
      <c r="B194" s="204"/>
      <c r="C194" s="258"/>
      <c r="D194" s="204"/>
      <c r="E194" s="258"/>
      <c r="F194" s="204"/>
      <c r="G194" s="204"/>
      <c r="H194" s="204"/>
      <c r="I194" s="204"/>
      <c r="J194" s="204"/>
      <c r="K194" s="204"/>
      <c r="L194" s="204"/>
      <c r="M194" s="204"/>
      <c r="N194" s="204"/>
      <c r="O194" s="29" t="s">
        <v>314</v>
      </c>
      <c r="P194" s="31">
        <f>P191+INDEX(CommunityResourcePack[density],MATCH(O192,CommunityResourcePack[name],0))*P192</f>
        <v>4.6199999999999998E-2</v>
      </c>
      <c r="Q194" s="31">
        <f>Q191+INDEX(CommunityResourcePack[density],MATCH(O192,CommunityResourcePack[name],0))*Q192</f>
        <v>4.6199999999999998E-2</v>
      </c>
      <c r="R194" s="31">
        <f>IF(R195="1.25m",P194/P195-SUM($K$8,$K$16)/P195,P194/P195)</f>
        <v>4.1999999999999996E-2</v>
      </c>
      <c r="S194" s="204"/>
      <c r="T194" s="204"/>
      <c r="U194" s="204"/>
      <c r="V194" s="29" t="s">
        <v>314</v>
      </c>
      <c r="W194" s="31">
        <f>W191+INDEX(CommunityResourcePack[density],MATCH(V192,CommunityResourcePack[name],0))*W192</f>
        <v>0.44</v>
      </c>
      <c r="X194" s="31">
        <f>X191+INDEX(CommunityResourcePack[density],MATCH(V192,CommunityResourcePack[name],0))*X192</f>
        <v>4.6199999999999998E-2</v>
      </c>
      <c r="Y194" s="31">
        <f>IF(Y195="1.25m",W194/W195-SUM($K$8,$K$16)/W195,W194/W195)</f>
        <v>2.75E-2</v>
      </c>
    </row>
    <row r="195" spans="1:25" outlineLevel="1" x14ac:dyDescent="0.35">
      <c r="A195" s="259"/>
      <c r="B195" s="204"/>
      <c r="C195" s="258"/>
      <c r="D195" s="204"/>
      <c r="E195" s="258"/>
      <c r="F195" s="204"/>
      <c r="G195" s="204"/>
      <c r="H195" s="204"/>
      <c r="I195" s="204"/>
      <c r="J195" s="204"/>
      <c r="K195" s="204"/>
      <c r="L195" s="204"/>
      <c r="M195" s="204"/>
      <c r="N195" s="204"/>
      <c r="O195" s="33" t="s">
        <v>303</v>
      </c>
      <c r="P195" s="2">
        <v>1.1000000000000001</v>
      </c>
      <c r="Q195" s="34" t="s">
        <v>304</v>
      </c>
      <c r="R195" s="2" t="s">
        <v>45</v>
      </c>
      <c r="S195" s="204"/>
      <c r="T195" s="204"/>
      <c r="U195" s="204"/>
      <c r="V195" s="33" t="s">
        <v>303</v>
      </c>
      <c r="W195" s="2">
        <v>16</v>
      </c>
      <c r="X195" s="34" t="s">
        <v>304</v>
      </c>
      <c r="Y195" s="2" t="s">
        <v>45</v>
      </c>
    </row>
    <row r="196" spans="1:25" x14ac:dyDescent="0.35">
      <c r="A196" s="259"/>
      <c r="B196" s="204"/>
      <c r="C196" s="43" t="s">
        <v>45</v>
      </c>
      <c r="D196" s="204"/>
      <c r="E196" s="201"/>
      <c r="F196" s="204"/>
      <c r="G196" s="204"/>
      <c r="H196" s="204"/>
      <c r="I196" s="204"/>
      <c r="J196" s="204"/>
      <c r="K196" s="204"/>
      <c r="L196" s="204"/>
      <c r="M196" s="204"/>
      <c r="N196" s="204"/>
      <c r="O196" s="204"/>
      <c r="P196" s="204"/>
      <c r="Q196" s="204"/>
      <c r="R196" s="204"/>
      <c r="S196" s="204"/>
      <c r="T196" s="204"/>
      <c r="U196" s="204"/>
      <c r="V196" s="204"/>
      <c r="W196" s="204"/>
      <c r="X196" s="204"/>
      <c r="Y196" s="204"/>
    </row>
    <row r="197" spans="1:25" ht="23.5" outlineLevel="1" x14ac:dyDescent="0.55000000000000004">
      <c r="A197" s="259"/>
      <c r="B197" s="204"/>
      <c r="C197" s="259" t="s">
        <v>355</v>
      </c>
      <c r="D197" s="204"/>
      <c r="E197" s="259" t="s">
        <v>356</v>
      </c>
      <c r="F197" s="204"/>
      <c r="G197" s="88" t="s">
        <v>357</v>
      </c>
      <c r="H197" s="204"/>
      <c r="I197" s="204"/>
      <c r="J197" s="204"/>
      <c r="K197" s="204"/>
      <c r="L197" s="204"/>
      <c r="M197" s="204"/>
      <c r="N197" s="204"/>
      <c r="O197" s="204"/>
      <c r="P197" s="204"/>
      <c r="Q197" s="204"/>
      <c r="R197" s="204"/>
      <c r="S197" s="204"/>
      <c r="T197" s="204"/>
      <c r="U197" s="204"/>
      <c r="V197" s="204"/>
      <c r="W197" s="204"/>
      <c r="X197" s="204"/>
      <c r="Y197" s="204"/>
    </row>
    <row r="198" spans="1:25" outlineLevel="1" x14ac:dyDescent="0.35">
      <c r="A198" s="259"/>
      <c r="B198" s="204"/>
      <c r="C198" s="259"/>
      <c r="D198" s="204"/>
      <c r="E198" s="259"/>
      <c r="F198" s="204"/>
      <c r="G198" s="204" t="s">
        <v>358</v>
      </c>
      <c r="H198" s="204"/>
      <c r="I198" s="204"/>
      <c r="J198" s="204"/>
      <c r="K198" s="204"/>
      <c r="L198" s="204"/>
      <c r="M198" s="204"/>
      <c r="N198" s="204"/>
      <c r="O198" s="204"/>
      <c r="P198" s="204"/>
      <c r="Q198" s="204"/>
      <c r="R198" s="204"/>
      <c r="S198" s="204"/>
      <c r="T198" s="204"/>
      <c r="U198" s="204"/>
      <c r="V198" s="204"/>
      <c r="W198" s="204"/>
      <c r="X198" s="204"/>
      <c r="Y198" s="204"/>
    </row>
    <row r="199" spans="1:25" outlineLevel="1" x14ac:dyDescent="0.35">
      <c r="A199" s="259"/>
      <c r="B199" s="204"/>
      <c r="C199" s="259"/>
      <c r="D199" s="204"/>
      <c r="E199" s="259"/>
      <c r="F199" s="204"/>
      <c r="G199" t="s">
        <v>356</v>
      </c>
      <c r="H199" s="204"/>
      <c r="I199" s="204"/>
      <c r="J199" s="204"/>
      <c r="K199" s="204"/>
      <c r="L199" s="204"/>
      <c r="M199" s="204"/>
      <c r="N199" s="204"/>
      <c r="O199" s="204"/>
      <c r="P199" s="204"/>
      <c r="Q199" s="204"/>
      <c r="R199" s="204"/>
      <c r="S199" s="204"/>
      <c r="T199" s="204"/>
      <c r="U199" s="204"/>
      <c r="V199" s="204"/>
      <c r="W199" s="204"/>
      <c r="X199" s="204"/>
      <c r="Y199" s="204"/>
    </row>
    <row r="200" spans="1:25" outlineLevel="1" x14ac:dyDescent="0.35">
      <c r="A200" s="259"/>
      <c r="B200" s="204"/>
      <c r="C200" s="259"/>
      <c r="D200" s="204"/>
      <c r="E200" s="259"/>
      <c r="F200" s="204"/>
      <c r="G200" s="204"/>
      <c r="H200" t="s">
        <v>300</v>
      </c>
      <c r="I200" t="s">
        <v>85</v>
      </c>
      <c r="J200" t="s">
        <v>301</v>
      </c>
      <c r="K200" t="s">
        <v>302</v>
      </c>
      <c r="L200" s="204"/>
      <c r="M200" s="204"/>
      <c r="N200" s="204"/>
      <c r="O200" s="204"/>
      <c r="P200" s="204"/>
      <c r="Q200" s="204"/>
      <c r="R200" s="204"/>
      <c r="S200" s="204"/>
      <c r="T200" s="204"/>
      <c r="U200" s="204"/>
      <c r="V200" s="204"/>
      <c r="W200" s="204"/>
      <c r="X200" s="204"/>
      <c r="Y200" s="204"/>
    </row>
    <row r="201" spans="1:25" outlineLevel="1" x14ac:dyDescent="0.35">
      <c r="A201" s="259"/>
      <c r="B201" s="204"/>
      <c r="C201" s="259"/>
      <c r="D201" s="204"/>
      <c r="E201" s="259"/>
      <c r="F201" s="204"/>
      <c r="G201" s="204"/>
      <c r="H201" t="s">
        <v>88</v>
      </c>
      <c r="I201">
        <v>750</v>
      </c>
      <c r="J201" s="65">
        <v>500</v>
      </c>
      <c r="K201">
        <f>I201/I208</f>
        <v>750</v>
      </c>
      <c r="L201" s="204"/>
      <c r="M201" s="204"/>
      <c r="N201" s="204"/>
      <c r="O201" s="204"/>
      <c r="P201" s="204"/>
      <c r="Q201" s="204"/>
      <c r="R201" s="204"/>
      <c r="S201" s="204"/>
      <c r="T201" s="204"/>
      <c r="U201" s="204"/>
      <c r="V201" s="204"/>
      <c r="W201" s="204"/>
      <c r="X201" s="204"/>
      <c r="Y201" s="204"/>
    </row>
    <row r="202" spans="1:25" outlineLevel="1" x14ac:dyDescent="0.35">
      <c r="A202" s="259"/>
      <c r="B202" s="204"/>
      <c r="C202" s="259"/>
      <c r="D202" s="204"/>
      <c r="E202" s="259"/>
      <c r="F202" s="204"/>
      <c r="G202" s="204"/>
      <c r="H202" t="s">
        <v>89</v>
      </c>
      <c r="I202" s="27">
        <v>0.05</v>
      </c>
      <c r="J202" s="38">
        <v>3.3000000000000002E-2</v>
      </c>
      <c r="K202">
        <f>IF(K208="1.25m",I202/I208-SUM($K$8,$K$16)/I208,I202/I208)</f>
        <v>0.05</v>
      </c>
      <c r="L202" s="204"/>
      <c r="M202" s="204"/>
      <c r="N202" s="204"/>
      <c r="O202" s="204"/>
      <c r="P202" s="204"/>
      <c r="Q202" s="204"/>
      <c r="R202" s="204"/>
      <c r="S202" s="204"/>
      <c r="T202" s="204"/>
      <c r="U202" s="204"/>
      <c r="V202" s="204"/>
      <c r="W202" s="204"/>
      <c r="X202" s="204"/>
      <c r="Y202" s="204"/>
    </row>
    <row r="203" spans="1:25" outlineLevel="1" x14ac:dyDescent="0.35">
      <c r="A203" s="259"/>
      <c r="B203" s="204"/>
      <c r="C203" s="259"/>
      <c r="D203" s="204"/>
      <c r="E203" s="259"/>
      <c r="F203" s="204"/>
      <c r="G203" s="204"/>
      <c r="H203" t="s">
        <v>23</v>
      </c>
      <c r="I203" s="84">
        <v>0.50700000000000001</v>
      </c>
      <c r="J203" s="93">
        <v>0.16788377319816422</v>
      </c>
      <c r="K203" s="82">
        <f>I203/I208</f>
        <v>0.50700000000000001</v>
      </c>
      <c r="L203" s="204"/>
      <c r="M203" s="204"/>
      <c r="N203" s="204"/>
      <c r="O203" s="204"/>
      <c r="P203" s="204"/>
      <c r="Q203" s="204"/>
      <c r="R203" s="204"/>
      <c r="S203" s="204"/>
      <c r="T203" s="204"/>
      <c r="U203" s="204"/>
      <c r="V203" s="204"/>
      <c r="W203" s="204"/>
      <c r="X203" s="204"/>
      <c r="Y203" s="204"/>
    </row>
    <row r="204" spans="1:25" outlineLevel="1" x14ac:dyDescent="0.35">
      <c r="A204" s="259"/>
      <c r="B204" s="204"/>
      <c r="C204" s="259"/>
      <c r="D204" s="204"/>
      <c r="E204" s="259"/>
      <c r="F204" s="204"/>
      <c r="G204" s="204"/>
      <c r="H204" t="s">
        <v>19</v>
      </c>
      <c r="I204" s="82">
        <v>1.0009999999999999</v>
      </c>
      <c r="J204" s="93">
        <v>0.33364751877527904</v>
      </c>
      <c r="K204" s="82">
        <f>I204/I208</f>
        <v>1.0009999999999999</v>
      </c>
      <c r="L204" s="204"/>
      <c r="M204" s="204"/>
      <c r="N204" s="204"/>
      <c r="O204" s="204"/>
      <c r="P204" s="204"/>
      <c r="Q204" s="204"/>
      <c r="R204" s="204"/>
      <c r="S204" s="204"/>
      <c r="T204" s="204"/>
      <c r="U204" s="204"/>
      <c r="V204" s="204"/>
      <c r="W204" s="204"/>
      <c r="X204" s="204"/>
      <c r="Y204" s="204"/>
    </row>
    <row r="205" spans="1:25" outlineLevel="1" x14ac:dyDescent="0.35">
      <c r="A205" s="259"/>
      <c r="B205" s="204"/>
      <c r="C205" s="259"/>
      <c r="D205" s="204"/>
      <c r="E205" s="259"/>
      <c r="F205" s="204"/>
      <c r="G205" s="204"/>
      <c r="H205" t="s">
        <v>67</v>
      </c>
      <c r="I205">
        <v>2.403</v>
      </c>
      <c r="J205" s="65">
        <v>1.6</v>
      </c>
      <c r="K205">
        <f>I205/I208</f>
        <v>2.403</v>
      </c>
      <c r="L205" s="204"/>
      <c r="M205" s="204"/>
      <c r="N205" s="204"/>
      <c r="O205" s="204"/>
      <c r="P205" s="204"/>
      <c r="Q205" s="204"/>
      <c r="R205" s="204"/>
      <c r="S205" s="204"/>
      <c r="T205" s="204"/>
      <c r="U205" s="204"/>
      <c r="V205" s="204"/>
      <c r="W205" s="204"/>
      <c r="X205" s="204"/>
      <c r="Y205" s="204"/>
    </row>
    <row r="206" spans="1:25" outlineLevel="1" x14ac:dyDescent="0.35">
      <c r="A206" s="259"/>
      <c r="B206" s="204"/>
      <c r="C206" s="259"/>
      <c r="D206" s="204"/>
      <c r="E206" s="259"/>
      <c r="F206" s="204"/>
      <c r="G206" s="204"/>
      <c r="H206" t="s">
        <v>25</v>
      </c>
      <c r="I206">
        <f>0.048/60</f>
        <v>8.0000000000000004E-4</v>
      </c>
      <c r="J206" s="93">
        <v>2.6989415088769873E-4</v>
      </c>
      <c r="K206">
        <f>I206/I208</f>
        <v>8.0000000000000004E-4</v>
      </c>
      <c r="L206" s="204"/>
      <c r="M206" s="204"/>
      <c r="N206" s="204"/>
      <c r="O206" s="204"/>
      <c r="P206" s="204"/>
      <c r="Q206" s="204"/>
      <c r="R206" s="204"/>
      <c r="S206" s="204"/>
      <c r="T206" s="204"/>
      <c r="U206" s="204"/>
      <c r="V206" s="204"/>
      <c r="W206" s="204"/>
      <c r="X206" s="204"/>
      <c r="Y206" s="204"/>
    </row>
    <row r="207" spans="1:25" outlineLevel="1" x14ac:dyDescent="0.35">
      <c r="A207" s="259"/>
      <c r="B207" s="204"/>
      <c r="C207" s="259"/>
      <c r="D207" s="204"/>
      <c r="E207" s="259"/>
      <c r="F207" s="204"/>
      <c r="G207" s="204"/>
      <c r="H207" t="s">
        <v>359</v>
      </c>
      <c r="I207"/>
      <c r="J207" s="65">
        <v>98</v>
      </c>
      <c r="K207"/>
      <c r="L207" s="204"/>
      <c r="M207" s="204"/>
      <c r="N207" s="204"/>
      <c r="O207" s="204"/>
      <c r="P207" s="204"/>
      <c r="Q207" s="204"/>
      <c r="R207" s="204"/>
      <c r="S207" s="204"/>
      <c r="T207" s="204"/>
      <c r="U207" s="204"/>
      <c r="V207" s="204"/>
      <c r="W207" s="204"/>
      <c r="X207" s="204"/>
      <c r="Y207" s="204"/>
    </row>
    <row r="208" spans="1:25" outlineLevel="1" x14ac:dyDescent="0.35">
      <c r="A208" s="259"/>
      <c r="B208" s="204"/>
      <c r="C208" s="259"/>
      <c r="D208" s="204"/>
      <c r="E208" s="259"/>
      <c r="F208" s="204"/>
      <c r="G208" s="204"/>
      <c r="H208" s="33" t="s">
        <v>303</v>
      </c>
      <c r="I208" s="2">
        <v>1</v>
      </c>
      <c r="J208" s="34" t="s">
        <v>304</v>
      </c>
      <c r="K208" s="2" t="s">
        <v>45</v>
      </c>
      <c r="L208" s="204"/>
      <c r="M208" s="204"/>
      <c r="N208" s="204"/>
      <c r="O208" s="204"/>
      <c r="P208" s="204"/>
      <c r="Q208" s="204"/>
      <c r="R208" s="204"/>
      <c r="S208" s="204"/>
      <c r="T208" s="204"/>
      <c r="U208" s="204"/>
      <c r="V208" s="204"/>
      <c r="W208" s="204"/>
      <c r="X208" s="204"/>
      <c r="Y208" s="204"/>
    </row>
    <row r="209" spans="1:11" outlineLevel="1" x14ac:dyDescent="0.35">
      <c r="A209" s="259"/>
      <c r="B209" s="204"/>
      <c r="C209" s="259"/>
      <c r="D209" s="204"/>
      <c r="E209" s="201"/>
      <c r="F209" s="204"/>
      <c r="G209" s="204"/>
      <c r="H209" s="204"/>
      <c r="I209" s="204"/>
      <c r="J209" s="204"/>
      <c r="K209" s="204"/>
    </row>
    <row r="210" spans="1:11" ht="23.5" outlineLevel="1" x14ac:dyDescent="0.55000000000000004">
      <c r="A210" s="259"/>
      <c r="B210" s="204"/>
      <c r="C210" s="259"/>
      <c r="D210" s="204"/>
      <c r="E210" s="259" t="s">
        <v>360</v>
      </c>
      <c r="F210" s="204"/>
      <c r="G210" s="88" t="s">
        <v>361</v>
      </c>
      <c r="H210" s="204"/>
      <c r="I210" s="204"/>
      <c r="J210" s="204"/>
      <c r="K210" s="204"/>
    </row>
    <row r="211" spans="1:11" outlineLevel="1" x14ac:dyDescent="0.35">
      <c r="A211" s="259"/>
      <c r="B211" s="204"/>
      <c r="C211" s="259"/>
      <c r="D211" s="204"/>
      <c r="E211" s="259"/>
      <c r="F211" s="204"/>
      <c r="G211" s="204" t="s">
        <v>362</v>
      </c>
      <c r="H211" s="204"/>
      <c r="I211" s="204"/>
      <c r="J211" s="204"/>
      <c r="K211" s="204"/>
    </row>
    <row r="212" spans="1:11" outlineLevel="1" x14ac:dyDescent="0.35">
      <c r="A212" s="259"/>
      <c r="B212" s="204"/>
      <c r="C212" s="259"/>
      <c r="D212" s="204"/>
      <c r="E212" s="259"/>
      <c r="F212" s="204"/>
      <c r="G212" t="s">
        <v>360</v>
      </c>
      <c r="H212" s="204"/>
      <c r="I212" s="204"/>
      <c r="J212" s="204"/>
      <c r="K212" s="204"/>
    </row>
    <row r="213" spans="1:11" outlineLevel="1" x14ac:dyDescent="0.35">
      <c r="A213" s="259"/>
      <c r="B213" s="204"/>
      <c r="C213" s="259"/>
      <c r="D213" s="204"/>
      <c r="E213" s="259"/>
      <c r="F213" s="204"/>
      <c r="G213" s="204"/>
      <c r="H213" t="s">
        <v>300</v>
      </c>
      <c r="I213" t="s">
        <v>85</v>
      </c>
      <c r="J213" t="s">
        <v>301</v>
      </c>
      <c r="K213" t="s">
        <v>302</v>
      </c>
    </row>
    <row r="214" spans="1:11" outlineLevel="1" x14ac:dyDescent="0.35">
      <c r="A214" s="259"/>
      <c r="B214" s="204"/>
      <c r="C214" s="259"/>
      <c r="D214" s="204"/>
      <c r="E214" s="259"/>
      <c r="F214" s="204"/>
      <c r="G214" s="204"/>
      <c r="H214" t="s">
        <v>88</v>
      </c>
      <c r="I214">
        <v>750</v>
      </c>
      <c r="J214" s="65">
        <v>2350</v>
      </c>
      <c r="K214">
        <f>I214/I221</f>
        <v>1500</v>
      </c>
    </row>
    <row r="215" spans="1:11" outlineLevel="1" x14ac:dyDescent="0.35">
      <c r="A215" s="259"/>
      <c r="B215" s="204"/>
      <c r="C215" s="259"/>
      <c r="D215" s="204"/>
      <c r="E215" s="259"/>
      <c r="F215" s="204"/>
      <c r="G215" s="204"/>
      <c r="H215" t="s">
        <v>89</v>
      </c>
      <c r="I215" s="27">
        <v>0.05</v>
      </c>
      <c r="J215" s="38">
        <v>0.156</v>
      </c>
      <c r="K215">
        <f>IF(K221="1.25m",I215/I221-SUM($K$8,$K$16)/I221,I215/I221)</f>
        <v>0.1</v>
      </c>
    </row>
    <row r="216" spans="1:11" outlineLevel="1" x14ac:dyDescent="0.35">
      <c r="A216" s="259"/>
      <c r="B216" s="204"/>
      <c r="C216" s="259"/>
      <c r="D216" s="204"/>
      <c r="E216" s="259"/>
      <c r="F216" s="204"/>
      <c r="G216" s="204"/>
      <c r="H216" t="s">
        <v>23</v>
      </c>
      <c r="I216" s="84">
        <f>0.0020625*5</f>
        <v>1.03125E-2</v>
      </c>
      <c r="J216" s="93">
        <v>0.42924828374530621</v>
      </c>
      <c r="K216" s="82">
        <f>I216/I221</f>
        <v>2.0625000000000001E-2</v>
      </c>
    </row>
    <row r="217" spans="1:11" outlineLevel="1" x14ac:dyDescent="0.35">
      <c r="A217" s="259"/>
      <c r="B217" s="204"/>
      <c r="C217" s="259"/>
      <c r="D217" s="204"/>
      <c r="E217" s="259"/>
      <c r="F217" s="204"/>
      <c r="G217" s="204"/>
      <c r="H217" t="s">
        <v>19</v>
      </c>
      <c r="I217" s="82">
        <f>0.0016875*5</f>
        <v>8.4375000000000006E-3</v>
      </c>
      <c r="J217" s="93">
        <v>0.85307604232315659</v>
      </c>
      <c r="K217" s="82">
        <f>I217/I221</f>
        <v>1.6875000000000001E-2</v>
      </c>
    </row>
    <row r="218" spans="1:11" outlineLevel="1" x14ac:dyDescent="0.35">
      <c r="A218" s="259"/>
      <c r="B218" s="204"/>
      <c r="C218" s="259"/>
      <c r="D218" s="204"/>
      <c r="E218" s="259"/>
      <c r="F218" s="204"/>
      <c r="G218" s="204"/>
      <c r="H218" t="s">
        <v>67</v>
      </c>
      <c r="I218">
        <v>1.5</v>
      </c>
      <c r="J218" s="65">
        <v>5</v>
      </c>
      <c r="K218">
        <f>I218/I221</f>
        <v>3</v>
      </c>
    </row>
    <row r="219" spans="1:11" outlineLevel="1" x14ac:dyDescent="0.35">
      <c r="A219" s="259"/>
      <c r="B219" s="204"/>
      <c r="C219" s="259"/>
      <c r="D219" s="204"/>
      <c r="E219" s="259"/>
      <c r="F219" s="204"/>
      <c r="G219" s="204"/>
      <c r="H219" t="s">
        <v>25</v>
      </c>
      <c r="I219"/>
      <c r="J219" s="93">
        <v>6.9007027215604779E-4</v>
      </c>
      <c r="K219">
        <f>I219/I221</f>
        <v>0</v>
      </c>
    </row>
    <row r="220" spans="1:11" outlineLevel="1" x14ac:dyDescent="0.35">
      <c r="A220" s="259"/>
      <c r="B220" s="204"/>
      <c r="C220" s="259"/>
      <c r="D220" s="204"/>
      <c r="E220" s="259"/>
      <c r="F220" s="204"/>
      <c r="G220" s="204"/>
      <c r="H220" t="s">
        <v>359</v>
      </c>
      <c r="I220"/>
      <c r="J220" s="65">
        <v>205</v>
      </c>
      <c r="K220"/>
    </row>
    <row r="221" spans="1:11" outlineLevel="1" x14ac:dyDescent="0.35">
      <c r="A221" s="259"/>
      <c r="B221" s="204"/>
      <c r="C221" s="259"/>
      <c r="D221" s="204"/>
      <c r="E221" s="259"/>
      <c r="F221" s="204"/>
      <c r="G221" s="204"/>
      <c r="H221" s="33" t="s">
        <v>303</v>
      </c>
      <c r="I221" s="2">
        <v>0.5</v>
      </c>
      <c r="J221" s="34" t="s">
        <v>304</v>
      </c>
      <c r="K221" s="2" t="s">
        <v>45</v>
      </c>
    </row>
    <row r="222" spans="1:11" outlineLevel="1" x14ac:dyDescent="0.35">
      <c r="A222" s="259"/>
      <c r="B222" s="204"/>
      <c r="C222" s="259"/>
      <c r="D222" s="204"/>
      <c r="E222" s="201"/>
      <c r="F222" s="204"/>
      <c r="G222" s="204"/>
      <c r="H222" s="204"/>
      <c r="I222" s="204"/>
      <c r="J222" s="204"/>
      <c r="K222" s="204"/>
    </row>
    <row r="223" spans="1:11" ht="23.25" customHeight="1" outlineLevel="1" x14ac:dyDescent="0.55000000000000004">
      <c r="A223" s="259"/>
      <c r="B223" s="204"/>
      <c r="C223" s="259"/>
      <c r="D223" s="204"/>
      <c r="E223" s="259" t="s">
        <v>363</v>
      </c>
      <c r="F223" s="204"/>
      <c r="G223" s="88" t="s">
        <v>78</v>
      </c>
      <c r="H223" s="204"/>
      <c r="I223" s="204"/>
      <c r="J223" s="204"/>
      <c r="K223" s="204"/>
    </row>
    <row r="224" spans="1:11" outlineLevel="1" x14ac:dyDescent="0.35">
      <c r="A224" s="259"/>
      <c r="B224" s="204"/>
      <c r="C224" s="259"/>
      <c r="D224" s="204"/>
      <c r="E224" s="259"/>
      <c r="F224" s="204"/>
      <c r="G224" s="204" t="s">
        <v>364</v>
      </c>
      <c r="H224" s="204"/>
      <c r="I224" s="204"/>
      <c r="J224" s="204"/>
      <c r="K224" s="204"/>
    </row>
    <row r="225" spans="1:25" outlineLevel="1" x14ac:dyDescent="0.35">
      <c r="A225" s="259"/>
      <c r="B225" s="204"/>
      <c r="C225" s="259"/>
      <c r="D225" s="204"/>
      <c r="E225" s="259"/>
      <c r="F225" s="204"/>
      <c r="G225" t="s">
        <v>363</v>
      </c>
      <c r="H225" s="204"/>
      <c r="I225" s="204"/>
      <c r="J225" s="204"/>
      <c r="K225" s="204"/>
      <c r="L225" s="204"/>
      <c r="M225" s="204"/>
      <c r="N225" s="204"/>
      <c r="O225" s="204"/>
      <c r="P225" s="204"/>
      <c r="Q225" s="204"/>
      <c r="R225" s="204"/>
      <c r="S225" s="204"/>
      <c r="T225" s="204"/>
      <c r="U225" s="204"/>
      <c r="V225" s="204"/>
      <c r="W225" s="204"/>
      <c r="X225" s="204"/>
      <c r="Y225" s="204"/>
    </row>
    <row r="226" spans="1:25" outlineLevel="1" x14ac:dyDescent="0.35">
      <c r="A226" s="259"/>
      <c r="B226" s="204"/>
      <c r="C226" s="259"/>
      <c r="D226" s="204"/>
      <c r="E226" s="259"/>
      <c r="F226" s="204"/>
      <c r="G226" s="204"/>
      <c r="H226" t="s">
        <v>300</v>
      </c>
      <c r="I226" t="s">
        <v>105</v>
      </c>
      <c r="J226" t="s">
        <v>301</v>
      </c>
      <c r="K226" t="s">
        <v>302</v>
      </c>
      <c r="L226" s="204"/>
      <c r="M226" s="204"/>
      <c r="N226" s="204"/>
      <c r="O226" s="204"/>
      <c r="P226" s="204"/>
      <c r="Q226" s="204"/>
      <c r="R226" s="204"/>
      <c r="S226" s="204"/>
      <c r="T226" s="204"/>
      <c r="U226" s="204"/>
      <c r="V226" s="204"/>
      <c r="W226" s="204"/>
      <c r="X226" s="204"/>
      <c r="Y226" s="204"/>
    </row>
    <row r="227" spans="1:25" outlineLevel="1" x14ac:dyDescent="0.35">
      <c r="A227" s="259"/>
      <c r="B227" s="204"/>
      <c r="C227" s="259"/>
      <c r="D227" s="204"/>
      <c r="E227" s="259"/>
      <c r="F227" s="204"/>
      <c r="G227" s="204"/>
      <c r="H227" t="s">
        <v>88</v>
      </c>
      <c r="I227">
        <v>2100</v>
      </c>
      <c r="J227" s="65">
        <v>1500</v>
      </c>
      <c r="K227">
        <f>I227/I234</f>
        <v>2100</v>
      </c>
      <c r="L227" s="204"/>
      <c r="M227" s="204"/>
      <c r="N227" s="204"/>
      <c r="O227" s="204"/>
      <c r="P227" s="204"/>
      <c r="Q227" s="204"/>
      <c r="R227" s="204"/>
      <c r="S227" s="204"/>
      <c r="T227" s="204"/>
      <c r="U227" s="204"/>
      <c r="V227" s="204"/>
      <c r="W227" s="204"/>
      <c r="X227" s="204"/>
      <c r="Y227" s="204"/>
    </row>
    <row r="228" spans="1:25" outlineLevel="1" x14ac:dyDescent="0.35">
      <c r="A228" s="259"/>
      <c r="B228" s="204"/>
      <c r="C228" s="259"/>
      <c r="D228" s="204"/>
      <c r="E228" s="259"/>
      <c r="F228" s="204"/>
      <c r="G228" s="204"/>
      <c r="H228" t="s">
        <v>89</v>
      </c>
      <c r="I228" s="27">
        <v>0.48</v>
      </c>
      <c r="J228" s="38">
        <v>0.15</v>
      </c>
      <c r="K228">
        <f>IF(K234="1.25m",I228/I234-SUM($K$8,$K$16)/I234,I228/I234)</f>
        <v>0.44499999999999995</v>
      </c>
      <c r="L228" s="204"/>
      <c r="M228" s="204"/>
      <c r="N228" s="204"/>
      <c r="O228" s="204"/>
      <c r="P228" s="204"/>
      <c r="Q228" s="204"/>
      <c r="R228" s="204"/>
      <c r="S228" s="204"/>
      <c r="T228" s="204"/>
      <c r="U228" s="204"/>
      <c r="V228" s="204"/>
      <c r="W228" s="204"/>
      <c r="X228" s="204"/>
      <c r="Y228" s="204"/>
    </row>
    <row r="229" spans="1:25" outlineLevel="1" x14ac:dyDescent="0.35">
      <c r="A229" s="259"/>
      <c r="B229" s="204"/>
      <c r="C229" s="259"/>
      <c r="D229" s="204"/>
      <c r="E229" s="259"/>
      <c r="F229" s="204"/>
      <c r="G229" s="204"/>
      <c r="H229" t="s">
        <v>25</v>
      </c>
      <c r="I229" s="82">
        <f>0.000002720508341*3.06</f>
        <v>8.3247555234600007E-6</v>
      </c>
      <c r="J229" s="93">
        <v>8.3498502930881802E-5</v>
      </c>
      <c r="K229" s="90">
        <f>I229/I234</f>
        <v>8.3247555234600007E-6</v>
      </c>
      <c r="L229" s="204"/>
      <c r="M229" s="204"/>
      <c r="N229" s="204"/>
      <c r="O229" s="204"/>
      <c r="P229" s="204"/>
      <c r="Q229" s="204"/>
      <c r="R229" s="204"/>
      <c r="S229" s="204"/>
      <c r="T229" s="204"/>
      <c r="U229" s="204"/>
      <c r="V229" s="204"/>
      <c r="W229" s="204"/>
      <c r="X229" s="204"/>
      <c r="Y229" s="204"/>
    </row>
    <row r="230" spans="1:25" outlineLevel="1" x14ac:dyDescent="0.35">
      <c r="A230" s="259"/>
      <c r="B230" s="204"/>
      <c r="C230" s="259"/>
      <c r="D230" s="204"/>
      <c r="E230" s="259"/>
      <c r="F230" s="204"/>
      <c r="G230" s="204"/>
      <c r="H230" t="s">
        <v>282</v>
      </c>
      <c r="I230" s="82">
        <f>0.039783051310155*3.06</f>
        <v>0.12173613700907431</v>
      </c>
      <c r="J230" s="65">
        <v>2</v>
      </c>
      <c r="K230">
        <f>I230/I234</f>
        <v>0.12173613700907431</v>
      </c>
      <c r="L230" s="204"/>
      <c r="M230" s="204"/>
      <c r="N230" s="204"/>
      <c r="O230" s="204"/>
      <c r="P230" s="204"/>
      <c r="Q230" s="204"/>
      <c r="R230" s="204"/>
      <c r="S230" s="204"/>
      <c r="T230" s="204"/>
      <c r="U230" s="204"/>
      <c r="V230" s="204"/>
      <c r="W230" s="204"/>
      <c r="X230" s="204"/>
      <c r="Y230" s="204"/>
    </row>
    <row r="231" spans="1:25" outlineLevel="1" x14ac:dyDescent="0.35">
      <c r="A231" s="259"/>
      <c r="B231" s="204"/>
      <c r="C231" s="259"/>
      <c r="D231" s="204"/>
      <c r="E231" s="259"/>
      <c r="F231" s="204"/>
      <c r="G231" s="204"/>
      <c r="H231" t="s">
        <v>23</v>
      </c>
      <c r="I231">
        <f>0.001713537562385*3.06</f>
        <v>5.2434249408980999E-3</v>
      </c>
      <c r="J231" s="94">
        <v>0.10387808466636411</v>
      </c>
      <c r="K231">
        <f>I231/I234</f>
        <v>5.2434249408980999E-3</v>
      </c>
      <c r="L231" s="204"/>
      <c r="M231" s="204"/>
      <c r="N231" s="204"/>
      <c r="O231" s="204"/>
      <c r="P231" s="204"/>
      <c r="Q231" s="204"/>
      <c r="R231" s="204"/>
      <c r="S231" s="204"/>
      <c r="T231" s="204"/>
      <c r="U231" s="204"/>
      <c r="V231" s="204"/>
      <c r="W231" s="204"/>
      <c r="X231" s="204"/>
      <c r="Y231" s="204"/>
    </row>
    <row r="232" spans="1:25" outlineLevel="1" x14ac:dyDescent="0.35">
      <c r="A232" s="259"/>
      <c r="B232" s="204"/>
      <c r="C232" s="259"/>
      <c r="D232" s="204"/>
      <c r="E232" s="259"/>
      <c r="F232" s="204"/>
      <c r="G232" s="204"/>
      <c r="H232" t="s">
        <v>19</v>
      </c>
      <c r="I232">
        <f>I231*1.98737205162439</f>
        <v>1.0420636182331152E-2</v>
      </c>
      <c r="J232" s="94">
        <v>5.1611100560550981E-2</v>
      </c>
      <c r="K232">
        <f>I232/I234</f>
        <v>1.0420636182331152E-2</v>
      </c>
      <c r="L232" s="204"/>
      <c r="M232" s="204"/>
      <c r="N232" s="204"/>
      <c r="O232" s="204"/>
      <c r="P232" s="204"/>
      <c r="Q232" s="204"/>
      <c r="R232" s="204"/>
      <c r="S232" s="204"/>
      <c r="T232" s="204"/>
      <c r="U232" s="204"/>
      <c r="V232" s="204"/>
      <c r="W232" s="204"/>
      <c r="X232" s="204"/>
      <c r="Y232" s="204"/>
    </row>
    <row r="233" spans="1:25" outlineLevel="1" x14ac:dyDescent="0.35">
      <c r="A233" s="259"/>
      <c r="B233" s="204"/>
      <c r="C233" s="259"/>
      <c r="D233" s="204"/>
      <c r="E233" s="259"/>
      <c r="F233" s="204"/>
      <c r="G233" s="204"/>
      <c r="H233" t="s">
        <v>359</v>
      </c>
      <c r="I233"/>
      <c r="J233" s="65">
        <v>45</v>
      </c>
      <c r="K233"/>
      <c r="L233" s="204"/>
      <c r="M233" s="204"/>
      <c r="N233" s="204"/>
      <c r="O233" s="204"/>
      <c r="P233" s="204"/>
      <c r="Q233" s="204"/>
      <c r="R233" s="204"/>
      <c r="S233" s="204"/>
      <c r="T233" s="204"/>
      <c r="U233" s="204"/>
      <c r="V233" s="204"/>
      <c r="W233" s="204"/>
      <c r="X233" s="204"/>
      <c r="Y233" s="204"/>
    </row>
    <row r="234" spans="1:25" outlineLevel="1" x14ac:dyDescent="0.35">
      <c r="A234" s="259"/>
      <c r="B234" s="204"/>
      <c r="C234" s="259"/>
      <c r="D234" s="204"/>
      <c r="E234" s="259"/>
      <c r="F234" s="204"/>
      <c r="G234" s="204"/>
      <c r="H234" s="33" t="s">
        <v>303</v>
      </c>
      <c r="I234" s="2">
        <v>1</v>
      </c>
      <c r="J234" s="34" t="s">
        <v>304</v>
      </c>
      <c r="K234" s="2" t="s">
        <v>46</v>
      </c>
      <c r="L234" s="204"/>
      <c r="M234" s="204"/>
      <c r="N234" s="204"/>
      <c r="O234" s="204"/>
      <c r="P234" s="204"/>
      <c r="Q234" s="204"/>
      <c r="R234" s="204"/>
      <c r="S234" s="204"/>
      <c r="T234" s="204"/>
      <c r="U234" s="204"/>
      <c r="V234" s="204"/>
      <c r="W234" s="204"/>
      <c r="X234" s="204"/>
      <c r="Y234" s="204"/>
    </row>
    <row r="235" spans="1:25" outlineLevel="1" x14ac:dyDescent="0.35">
      <c r="A235" s="259"/>
      <c r="B235" s="204"/>
      <c r="C235" s="259"/>
      <c r="D235" s="204"/>
      <c r="E235" s="201"/>
      <c r="F235" s="204"/>
      <c r="G235" s="204"/>
      <c r="H235" s="204"/>
      <c r="I235" s="204"/>
      <c r="J235" s="204"/>
      <c r="K235" s="204"/>
      <c r="L235" s="204"/>
      <c r="M235" s="204"/>
      <c r="N235" s="204"/>
      <c r="O235" s="204"/>
      <c r="P235" s="204"/>
      <c r="Q235" s="204"/>
      <c r="R235" s="204"/>
      <c r="S235" s="204"/>
      <c r="T235" s="204"/>
      <c r="U235" s="204"/>
      <c r="V235" s="204"/>
      <c r="W235" s="204"/>
      <c r="X235" s="204"/>
      <c r="Y235" s="204"/>
    </row>
    <row r="236" spans="1:25" ht="23.25" customHeight="1" outlineLevel="1" x14ac:dyDescent="0.55000000000000004">
      <c r="A236" s="259"/>
      <c r="B236" s="204"/>
      <c r="C236" s="259"/>
      <c r="D236" s="204"/>
      <c r="E236" s="259" t="s">
        <v>365</v>
      </c>
      <c r="F236" s="204"/>
      <c r="G236" s="204"/>
      <c r="H236" s="204"/>
      <c r="I236" s="204"/>
      <c r="J236" s="204"/>
      <c r="K236" s="204"/>
      <c r="L236" s="204"/>
      <c r="M236" s="204"/>
      <c r="N236" s="88" t="s">
        <v>79</v>
      </c>
      <c r="O236" s="204"/>
      <c r="P236" s="204"/>
      <c r="Q236" s="204"/>
      <c r="R236" s="204"/>
      <c r="S236" s="204"/>
      <c r="T236" s="204"/>
      <c r="U236" s="26" t="s">
        <v>79</v>
      </c>
      <c r="V236" s="204"/>
      <c r="W236" s="204"/>
      <c r="X236" s="204"/>
      <c r="Y236" s="204"/>
    </row>
    <row r="237" spans="1:25" outlineLevel="1" x14ac:dyDescent="0.35">
      <c r="A237" s="259"/>
      <c r="B237" s="204"/>
      <c r="C237" s="259"/>
      <c r="D237" s="204"/>
      <c r="E237" s="259"/>
      <c r="F237" s="204"/>
      <c r="G237" s="204"/>
      <c r="H237" s="204"/>
      <c r="I237" s="204"/>
      <c r="J237" s="204"/>
      <c r="K237" s="204"/>
      <c r="L237" s="204"/>
      <c r="M237" s="204"/>
      <c r="N237" s="204" t="s">
        <v>366</v>
      </c>
      <c r="O237" s="204"/>
      <c r="P237" s="204"/>
      <c r="Q237" s="204"/>
      <c r="R237" s="204"/>
      <c r="S237" s="204"/>
      <c r="T237" s="204"/>
      <c r="U237" s="204" t="s">
        <v>366</v>
      </c>
      <c r="V237" s="204"/>
      <c r="W237" s="204"/>
      <c r="X237" s="204"/>
      <c r="Y237" s="204"/>
    </row>
    <row r="238" spans="1:25" outlineLevel="1" x14ac:dyDescent="0.35">
      <c r="A238" s="259"/>
      <c r="B238" s="204"/>
      <c r="C238" s="259"/>
      <c r="D238" s="204"/>
      <c r="E238" s="259"/>
      <c r="F238" s="204"/>
      <c r="G238" s="204"/>
      <c r="H238" s="204"/>
      <c r="I238" s="204"/>
      <c r="J238" s="204"/>
      <c r="K238" s="204"/>
      <c r="L238" s="204"/>
      <c r="M238" s="204"/>
      <c r="N238" t="s">
        <v>365</v>
      </c>
      <c r="O238" s="204"/>
      <c r="P238" s="204"/>
      <c r="Q238" s="204"/>
      <c r="R238" s="204"/>
      <c r="S238" s="204"/>
      <c r="T238" s="204"/>
      <c r="U238" t="s">
        <v>365</v>
      </c>
      <c r="V238" s="204"/>
      <c r="W238" s="204"/>
      <c r="X238" s="204"/>
      <c r="Y238" s="204"/>
    </row>
    <row r="239" spans="1:25" outlineLevel="1" x14ac:dyDescent="0.35">
      <c r="A239" s="259"/>
      <c r="B239" s="204"/>
      <c r="C239" s="259"/>
      <c r="D239" s="204"/>
      <c r="E239" s="259"/>
      <c r="F239" s="204"/>
      <c r="G239" s="204"/>
      <c r="H239" s="204"/>
      <c r="I239" s="204"/>
      <c r="J239" s="204"/>
      <c r="K239" s="204"/>
      <c r="L239" s="204"/>
      <c r="M239" s="204"/>
      <c r="N239" s="204"/>
      <c r="O239" t="s">
        <v>300</v>
      </c>
      <c r="P239" t="s">
        <v>105</v>
      </c>
      <c r="Q239" t="s">
        <v>301</v>
      </c>
      <c r="R239" t="s">
        <v>302</v>
      </c>
      <c r="S239" s="204"/>
      <c r="T239" s="204"/>
      <c r="U239" s="204"/>
      <c r="V239" t="s">
        <v>300</v>
      </c>
      <c r="W239" t="s">
        <v>105</v>
      </c>
      <c r="X239" t="s">
        <v>301</v>
      </c>
      <c r="Y239" t="s">
        <v>302</v>
      </c>
    </row>
    <row r="240" spans="1:25" outlineLevel="1" x14ac:dyDescent="0.35">
      <c r="A240" s="259"/>
      <c r="B240" s="204"/>
      <c r="C240" s="259"/>
      <c r="D240" s="204"/>
      <c r="E240" s="259"/>
      <c r="F240" s="204"/>
      <c r="G240" s="204"/>
      <c r="H240" s="204"/>
      <c r="I240" s="204"/>
      <c r="J240" s="204"/>
      <c r="K240" s="204"/>
      <c r="L240" s="204"/>
      <c r="M240" s="204"/>
      <c r="N240" s="204"/>
      <c r="O240" t="s">
        <v>88</v>
      </c>
      <c r="P240">
        <v>2700</v>
      </c>
      <c r="Q240" s="65">
        <v>2700</v>
      </c>
      <c r="R240" s="85">
        <f>P240/P248</f>
        <v>2700</v>
      </c>
      <c r="S240" s="204"/>
      <c r="T240" s="204"/>
      <c r="U240" s="204"/>
      <c r="V240" t="s">
        <v>88</v>
      </c>
      <c r="W240">
        <v>2700</v>
      </c>
      <c r="X240" s="65">
        <v>2700</v>
      </c>
      <c r="Y240" s="85">
        <f>W240/W248</f>
        <v>2700</v>
      </c>
    </row>
    <row r="241" spans="1:39" outlineLevel="1" x14ac:dyDescent="0.35">
      <c r="A241" s="259"/>
      <c r="B241" s="204"/>
      <c r="C241" s="259"/>
      <c r="D241" s="204"/>
      <c r="E241" s="259"/>
      <c r="F241" s="204"/>
      <c r="G241" s="204"/>
      <c r="H241" s="204"/>
      <c r="I241" s="204"/>
      <c r="J241" s="204"/>
      <c r="K241" s="204"/>
      <c r="L241" s="204"/>
      <c r="M241" s="204"/>
      <c r="N241" s="204"/>
      <c r="O241" t="s">
        <v>89</v>
      </c>
      <c r="P241" s="27">
        <v>0.48</v>
      </c>
      <c r="Q241" s="38">
        <v>0.48</v>
      </c>
      <c r="R241" s="86">
        <f>IF(R248="1.25m",P241/P248-SUM($K$8,$K$16)/P248,P241/P248)</f>
        <v>0.44499999999999995</v>
      </c>
      <c r="S241" s="204"/>
      <c r="T241" s="204"/>
      <c r="U241" s="204"/>
      <c r="V241" t="s">
        <v>89</v>
      </c>
      <c r="W241" s="27">
        <v>0.48</v>
      </c>
      <c r="X241" s="38">
        <v>0.48</v>
      </c>
      <c r="Y241" s="86">
        <f>IF(Y248="1.25m",W241/W248-SUM($K$8,$K$16)/W248,W241/W248)</f>
        <v>0.44499999999999995</v>
      </c>
      <c r="Z241" s="204"/>
      <c r="AA241" s="204"/>
      <c r="AB241" s="204"/>
      <c r="AC241" s="204"/>
      <c r="AD241" s="204"/>
      <c r="AE241" s="204"/>
      <c r="AF241" s="204"/>
      <c r="AG241" s="204"/>
      <c r="AH241" s="204"/>
      <c r="AI241" s="204"/>
      <c r="AJ241" s="204"/>
      <c r="AK241" s="204"/>
      <c r="AL241" s="204"/>
      <c r="AM241" s="204"/>
    </row>
    <row r="242" spans="1:39" outlineLevel="1" x14ac:dyDescent="0.35">
      <c r="A242" s="259"/>
      <c r="B242" s="204"/>
      <c r="C242" s="259"/>
      <c r="D242" s="204"/>
      <c r="E242" s="259"/>
      <c r="F242" s="204"/>
      <c r="G242" s="204"/>
      <c r="H242" s="204"/>
      <c r="I242" s="204"/>
      <c r="J242" s="204"/>
      <c r="K242" s="204"/>
      <c r="L242" s="204"/>
      <c r="M242" s="204"/>
      <c r="N242" s="204"/>
      <c r="O242" t="s">
        <v>81</v>
      </c>
      <c r="P242" s="82">
        <f>0.000851605032367*3.06</f>
        <v>2.6059113990430202E-3</v>
      </c>
      <c r="Q242" s="95">
        <v>8.8192419825072879E-2</v>
      </c>
      <c r="R242" s="87">
        <f>P242/P248</f>
        <v>2.6059113990430202E-3</v>
      </c>
      <c r="S242" s="204"/>
      <c r="T242" s="204"/>
      <c r="U242" s="204"/>
      <c r="V242" t="s">
        <v>81</v>
      </c>
      <c r="W242" s="82">
        <f>0.000851605032367*3.06</f>
        <v>2.6059113990430202E-3</v>
      </c>
      <c r="X242" s="95">
        <v>8.8192419825072879E-2</v>
      </c>
      <c r="Y242" s="87">
        <f>W242/W248</f>
        <v>2.6059113990430202E-3</v>
      </c>
      <c r="Z242" s="204"/>
      <c r="AA242" s="204"/>
      <c r="AB242" s="204"/>
      <c r="AC242" s="204"/>
      <c r="AD242" s="204"/>
      <c r="AE242" s="204"/>
      <c r="AF242" s="204"/>
      <c r="AG242" s="204"/>
      <c r="AH242" s="204"/>
      <c r="AI242" s="204"/>
      <c r="AJ242" s="204"/>
      <c r="AK242" s="204"/>
      <c r="AL242" s="204"/>
      <c r="AM242" s="204"/>
    </row>
    <row r="243" spans="1:39" outlineLevel="1" x14ac:dyDescent="0.35">
      <c r="A243" s="259"/>
      <c r="B243" s="204"/>
      <c r="C243" s="259"/>
      <c r="D243" s="204"/>
      <c r="E243" s="259"/>
      <c r="F243" s="204"/>
      <c r="G243" s="204"/>
      <c r="H243" s="204"/>
      <c r="I243" s="204"/>
      <c r="J243" s="204"/>
      <c r="K243" s="204"/>
      <c r="L243" s="204"/>
      <c r="M243" s="204"/>
      <c r="N243" s="204"/>
      <c r="O243" t="s">
        <v>19</v>
      </c>
      <c r="P243" s="82"/>
      <c r="Q243" s="94">
        <v>0.34967257931209866</v>
      </c>
      <c r="R243" s="87">
        <f>P243/P248</f>
        <v>0</v>
      </c>
      <c r="S243" s="204"/>
      <c r="T243" s="204"/>
      <c r="U243" s="204"/>
      <c r="V243" t="s">
        <v>19</v>
      </c>
      <c r="W243" s="82"/>
      <c r="X243" s="94">
        <v>0.34967257931209866</v>
      </c>
      <c r="Y243" s="87">
        <f>W243/W248</f>
        <v>0</v>
      </c>
      <c r="Z243" s="204"/>
      <c r="AA243" s="204"/>
      <c r="AB243" s="204"/>
      <c r="AC243" s="204"/>
      <c r="AD243" s="204"/>
      <c r="AE243" s="204"/>
      <c r="AF243" s="204"/>
      <c r="AG243" s="204"/>
      <c r="AH243" s="204"/>
      <c r="AI243" s="204"/>
      <c r="AJ243" s="204"/>
      <c r="AK243" s="204"/>
      <c r="AL243" s="204"/>
      <c r="AM243" s="204"/>
    </row>
    <row r="244" spans="1:39" outlineLevel="1" x14ac:dyDescent="0.35">
      <c r="A244" s="259"/>
      <c r="B244" s="204"/>
      <c r="C244" s="259"/>
      <c r="D244" s="204"/>
      <c r="E244" s="259"/>
      <c r="F244" s="204"/>
      <c r="G244" s="204"/>
      <c r="H244" s="204"/>
      <c r="I244" s="204"/>
      <c r="J244" s="204"/>
      <c r="K244" s="204"/>
      <c r="L244" s="204"/>
      <c r="M244" s="204"/>
      <c r="N244" s="204"/>
      <c r="O244" t="s">
        <v>282</v>
      </c>
      <c r="P244" s="82">
        <f>0.039783051310155*3.06</f>
        <v>0.12173613700907431</v>
      </c>
      <c r="Q244" s="96">
        <v>5</v>
      </c>
      <c r="R244" s="87">
        <f>P244/P248</f>
        <v>0.12173613700907431</v>
      </c>
      <c r="S244" s="204"/>
      <c r="T244" s="204"/>
      <c r="U244" s="204"/>
      <c r="V244" t="s">
        <v>282</v>
      </c>
      <c r="W244" s="82">
        <f>0.039783051310155*3.06</f>
        <v>0.12173613700907431</v>
      </c>
      <c r="X244" s="96">
        <v>5</v>
      </c>
      <c r="Y244" s="87">
        <f>W244/W248</f>
        <v>0.12173613700907431</v>
      </c>
      <c r="Z244" s="204"/>
      <c r="AA244" s="204"/>
      <c r="AB244" s="204"/>
      <c r="AC244" s="204"/>
      <c r="AD244" s="204"/>
      <c r="AE244" s="204"/>
      <c r="AF244" s="204"/>
      <c r="AG244" s="204"/>
      <c r="AH244" s="204"/>
      <c r="AI244" s="204"/>
      <c r="AJ244" s="204"/>
      <c r="AK244" s="204"/>
      <c r="AL244" s="204"/>
      <c r="AM244" s="204"/>
    </row>
    <row r="245" spans="1:39" outlineLevel="1" x14ac:dyDescent="0.35">
      <c r="A245" s="259"/>
      <c r="B245" s="204"/>
      <c r="C245" s="259"/>
      <c r="D245" s="204"/>
      <c r="E245" s="259"/>
      <c r="F245" s="204"/>
      <c r="G245" s="204"/>
      <c r="H245" s="204"/>
      <c r="I245" s="204"/>
      <c r="J245" s="204"/>
      <c r="K245" s="204"/>
      <c r="L245" s="204"/>
      <c r="M245" s="204"/>
      <c r="N245" s="204"/>
      <c r="O245" t="s">
        <v>25</v>
      </c>
      <c r="P245"/>
      <c r="Q245" s="93">
        <v>1.4142857142857143E-4</v>
      </c>
      <c r="R245" s="87">
        <f>P245/P248</f>
        <v>0</v>
      </c>
      <c r="S245" s="204"/>
      <c r="T245" s="204"/>
      <c r="U245" s="204"/>
      <c r="V245" t="s">
        <v>25</v>
      </c>
      <c r="W245"/>
      <c r="X245" s="93">
        <v>1.4142857142857143E-4</v>
      </c>
      <c r="Y245" s="87">
        <f>W245/W248</f>
        <v>0</v>
      </c>
      <c r="Z245" s="204"/>
      <c r="AA245" s="204"/>
      <c r="AB245" s="204"/>
      <c r="AC245" s="204"/>
      <c r="AD245" s="204"/>
      <c r="AE245" s="204"/>
      <c r="AF245" s="204"/>
      <c r="AG245" s="204"/>
      <c r="AH245" s="204"/>
      <c r="AI245" s="204"/>
      <c r="AJ245" s="204"/>
      <c r="AK245" s="204"/>
      <c r="AL245" s="204"/>
      <c r="AM245" s="204"/>
    </row>
    <row r="246" spans="1:39" outlineLevel="1" x14ac:dyDescent="0.35">
      <c r="A246" s="259"/>
      <c r="B246" s="204"/>
      <c r="C246" s="259"/>
      <c r="D246" s="204"/>
      <c r="E246" s="259"/>
      <c r="F246" s="204"/>
      <c r="G246" s="204"/>
      <c r="H246" s="204"/>
      <c r="I246" s="204"/>
      <c r="J246" s="204"/>
      <c r="K246" s="204"/>
      <c r="L246" s="204"/>
      <c r="M246" s="204"/>
      <c r="N246" s="204"/>
      <c r="O246" t="s">
        <v>21</v>
      </c>
      <c r="P246"/>
      <c r="Q246" s="95">
        <v>8.7789305666400641E-2</v>
      </c>
      <c r="R246" s="87">
        <f>P246/P248</f>
        <v>0</v>
      </c>
      <c r="S246" s="204"/>
      <c r="T246" s="204"/>
      <c r="U246" s="204"/>
      <c r="V246" t="s">
        <v>21</v>
      </c>
      <c r="W246"/>
      <c r="X246" s="95">
        <v>8.7789305666400641E-2</v>
      </c>
      <c r="Y246" s="87">
        <f>W246/W248</f>
        <v>0</v>
      </c>
      <c r="Z246" s="204"/>
      <c r="AA246" s="204"/>
      <c r="AB246" s="204"/>
      <c r="AC246" s="204"/>
      <c r="AD246" s="204"/>
      <c r="AE246" s="204"/>
      <c r="AF246" s="204"/>
      <c r="AG246" s="204"/>
      <c r="AH246" s="204"/>
      <c r="AI246" s="204"/>
      <c r="AJ246" s="204"/>
      <c r="AK246" s="204"/>
      <c r="AL246" s="204"/>
      <c r="AM246" s="204"/>
    </row>
    <row r="247" spans="1:39" outlineLevel="1" x14ac:dyDescent="0.35">
      <c r="A247" s="259"/>
      <c r="B247" s="204"/>
      <c r="C247" s="259"/>
      <c r="D247" s="204"/>
      <c r="E247" s="259"/>
      <c r="F247" s="204"/>
      <c r="G247" s="204"/>
      <c r="H247" s="204"/>
      <c r="I247" s="204"/>
      <c r="J247" s="204"/>
      <c r="K247" s="204"/>
      <c r="L247" s="204"/>
      <c r="M247" s="204"/>
      <c r="N247" s="204"/>
      <c r="O247" t="s">
        <v>359</v>
      </c>
      <c r="P247"/>
      <c r="Q247" s="65">
        <v>45</v>
      </c>
      <c r="R247" s="87"/>
      <c r="S247" s="204"/>
      <c r="T247" s="204"/>
      <c r="U247" s="204"/>
      <c r="V247" t="s">
        <v>359</v>
      </c>
      <c r="W247"/>
      <c r="X247" s="65">
        <v>45</v>
      </c>
      <c r="Y247" s="87"/>
      <c r="Z247" s="204"/>
      <c r="AA247" s="204"/>
      <c r="AB247" s="204"/>
      <c r="AC247" s="204"/>
      <c r="AD247" s="204"/>
      <c r="AE247" s="204"/>
      <c r="AF247" s="204"/>
      <c r="AG247" s="204"/>
      <c r="AH247" s="204"/>
      <c r="AI247" s="204"/>
      <c r="AJ247" s="204"/>
      <c r="AK247" s="204"/>
      <c r="AL247" s="204"/>
      <c r="AM247" s="204"/>
    </row>
    <row r="248" spans="1:39" outlineLevel="1" x14ac:dyDescent="0.35">
      <c r="A248" s="259"/>
      <c r="B248" s="204"/>
      <c r="C248" s="259"/>
      <c r="D248" s="204"/>
      <c r="E248" s="259"/>
      <c r="F248" s="204"/>
      <c r="G248" s="204"/>
      <c r="H248" s="204"/>
      <c r="I248" s="204"/>
      <c r="J248" s="204"/>
      <c r="K248" s="204"/>
      <c r="L248" s="204"/>
      <c r="M248" s="204"/>
      <c r="N248" s="204"/>
      <c r="O248" s="33" t="s">
        <v>303</v>
      </c>
      <c r="P248" s="2">
        <v>1</v>
      </c>
      <c r="Q248" s="34" t="s">
        <v>304</v>
      </c>
      <c r="R248" s="2" t="s">
        <v>46</v>
      </c>
      <c r="S248" s="204"/>
      <c r="T248" s="204"/>
      <c r="U248" s="204"/>
      <c r="V248" s="33" t="s">
        <v>303</v>
      </c>
      <c r="W248" s="2">
        <v>1</v>
      </c>
      <c r="X248" s="34" t="s">
        <v>304</v>
      </c>
      <c r="Y248" s="2" t="s">
        <v>46</v>
      </c>
      <c r="Z248" s="204"/>
      <c r="AA248" s="204"/>
      <c r="AB248" s="204"/>
      <c r="AC248" s="204"/>
      <c r="AD248" s="204"/>
      <c r="AE248" s="204"/>
      <c r="AF248" s="204"/>
      <c r="AG248" s="204"/>
      <c r="AH248" s="204"/>
      <c r="AI248" s="204"/>
      <c r="AJ248" s="204"/>
      <c r="AK248" s="204"/>
      <c r="AL248" s="204"/>
      <c r="AM248" s="204"/>
    </row>
    <row r="249" spans="1:39" outlineLevel="1" x14ac:dyDescent="0.35">
      <c r="A249" s="259"/>
      <c r="B249" s="204"/>
      <c r="C249" s="259"/>
      <c r="D249" s="204"/>
      <c r="E249" s="201"/>
      <c r="F249" s="204"/>
      <c r="G249" s="204"/>
      <c r="H249" s="204"/>
      <c r="I249" s="204"/>
      <c r="J249" s="204"/>
      <c r="K249" s="204"/>
      <c r="L249" s="204"/>
      <c r="M249" s="204"/>
      <c r="N249" s="204"/>
      <c r="O249" s="204"/>
      <c r="P249" s="204"/>
      <c r="Q249" s="204"/>
      <c r="R249" s="204"/>
      <c r="S249" s="204"/>
      <c r="T249" s="204"/>
      <c r="U249" s="204"/>
      <c r="V249" s="204"/>
      <c r="W249" s="204"/>
      <c r="X249" s="204"/>
      <c r="Y249" s="204"/>
      <c r="Z249" s="204"/>
      <c r="AA249" s="204"/>
      <c r="AB249" s="204"/>
      <c r="AC249" s="204"/>
      <c r="AD249" s="204"/>
      <c r="AE249" s="204"/>
      <c r="AF249" s="204"/>
      <c r="AG249" s="204"/>
      <c r="AH249" s="204"/>
      <c r="AI249" s="204"/>
      <c r="AJ249" s="204"/>
      <c r="AK249" s="204"/>
      <c r="AL249" s="204"/>
      <c r="AM249" s="204"/>
    </row>
    <row r="250" spans="1:39" ht="23.5" outlineLevel="1" x14ac:dyDescent="0.55000000000000004">
      <c r="A250" s="259"/>
      <c r="B250" s="204"/>
      <c r="C250" s="259"/>
      <c r="D250" s="204"/>
      <c r="E250" s="259" t="s">
        <v>367</v>
      </c>
      <c r="F250" s="204"/>
      <c r="G250" s="204"/>
      <c r="H250" s="204"/>
      <c r="I250" s="204"/>
      <c r="J250" s="204"/>
      <c r="K250" s="204"/>
      <c r="L250" s="204"/>
      <c r="M250" s="204"/>
      <c r="N250" s="88" t="s">
        <v>77</v>
      </c>
      <c r="O250" s="204"/>
      <c r="P250" s="204"/>
      <c r="Q250" s="204"/>
      <c r="R250" s="204"/>
      <c r="S250" s="204"/>
      <c r="T250" s="204"/>
      <c r="U250" s="26" t="s">
        <v>77</v>
      </c>
      <c r="V250" s="204"/>
      <c r="W250" s="204"/>
      <c r="X250" s="204"/>
      <c r="Y250" s="204"/>
      <c r="Z250" s="204"/>
      <c r="AA250" s="204"/>
      <c r="AB250" s="204"/>
      <c r="AC250" s="204"/>
      <c r="AD250" s="204"/>
      <c r="AE250" s="204"/>
      <c r="AF250" s="204"/>
      <c r="AG250" s="204"/>
      <c r="AH250" s="204"/>
      <c r="AI250" s="26" t="s">
        <v>368</v>
      </c>
      <c r="AJ250" s="204"/>
      <c r="AK250" s="204"/>
      <c r="AL250" s="204"/>
      <c r="AM250" s="204"/>
    </row>
    <row r="251" spans="1:39" outlineLevel="1" x14ac:dyDescent="0.35">
      <c r="A251" s="259"/>
      <c r="B251" s="204"/>
      <c r="C251" s="259"/>
      <c r="D251" s="204"/>
      <c r="E251" s="259"/>
      <c r="F251" s="204"/>
      <c r="G251" s="204"/>
      <c r="H251" s="204"/>
      <c r="I251" s="204"/>
      <c r="J251" s="204"/>
      <c r="K251" s="204"/>
      <c r="L251" s="204"/>
      <c r="M251" s="204"/>
      <c r="N251" s="204" t="s">
        <v>369</v>
      </c>
      <c r="O251" s="204"/>
      <c r="P251" s="204"/>
      <c r="Q251" s="204"/>
      <c r="R251" s="204"/>
      <c r="S251" s="204"/>
      <c r="T251" s="204"/>
      <c r="U251" s="204" t="s">
        <v>369</v>
      </c>
      <c r="V251" s="204"/>
      <c r="W251" s="204"/>
      <c r="X251" s="204"/>
      <c r="Y251" s="204"/>
      <c r="Z251" s="204"/>
      <c r="AA251" s="204"/>
      <c r="AB251" s="204"/>
      <c r="AC251" s="204"/>
      <c r="AD251" s="204"/>
      <c r="AE251" s="204"/>
      <c r="AF251" s="204"/>
      <c r="AG251" s="204"/>
      <c r="AH251" s="204"/>
      <c r="AI251" s="204" t="s">
        <v>370</v>
      </c>
      <c r="AJ251" s="204"/>
      <c r="AK251" s="204"/>
      <c r="AL251" s="204"/>
      <c r="AM251" s="204"/>
    </row>
    <row r="252" spans="1:39" outlineLevel="1" x14ac:dyDescent="0.35">
      <c r="A252" s="259"/>
      <c r="B252" s="204"/>
      <c r="C252" s="259"/>
      <c r="D252" s="204"/>
      <c r="E252" s="259"/>
      <c r="F252" s="204"/>
      <c r="G252" s="204"/>
      <c r="H252" s="204"/>
      <c r="I252" s="204"/>
      <c r="J252" s="204"/>
      <c r="K252" s="204"/>
      <c r="L252" s="204"/>
      <c r="M252" s="204"/>
      <c r="N252" t="s">
        <v>367</v>
      </c>
      <c r="O252" s="204"/>
      <c r="P252" s="204"/>
      <c r="Q252" s="204"/>
      <c r="R252" s="204"/>
      <c r="S252" s="204"/>
      <c r="T252" s="204"/>
      <c r="U252" t="s">
        <v>367</v>
      </c>
      <c r="V252" s="204"/>
      <c r="W252" s="204"/>
      <c r="X252" s="204"/>
      <c r="Y252" s="204"/>
      <c r="Z252" s="204"/>
      <c r="AA252" s="204"/>
      <c r="AB252" s="204"/>
      <c r="AC252" s="204"/>
      <c r="AD252" s="204"/>
      <c r="AE252" s="204"/>
      <c r="AF252" s="204"/>
      <c r="AG252" s="204"/>
      <c r="AH252" s="204"/>
      <c r="AI252" t="s">
        <v>371</v>
      </c>
      <c r="AJ252" s="204"/>
      <c r="AK252" s="204"/>
      <c r="AL252" s="204"/>
      <c r="AM252" s="204"/>
    </row>
    <row r="253" spans="1:39" outlineLevel="1" x14ac:dyDescent="0.35">
      <c r="A253" s="259"/>
      <c r="B253" s="204"/>
      <c r="C253" s="259"/>
      <c r="D253" s="204"/>
      <c r="E253" s="259"/>
      <c r="F253" s="204"/>
      <c r="G253" s="204"/>
      <c r="H253" s="204"/>
      <c r="I253" s="204"/>
      <c r="J253" s="204"/>
      <c r="K253" s="204"/>
      <c r="L253" s="204"/>
      <c r="M253" s="204"/>
      <c r="N253" s="204"/>
      <c r="O253" s="204"/>
      <c r="P253" s="204"/>
      <c r="Q253" s="204"/>
      <c r="R253" s="204"/>
      <c r="S253" s="204"/>
      <c r="T253" s="204"/>
      <c r="U253" s="204"/>
      <c r="V253" s="204"/>
      <c r="W253" s="204"/>
      <c r="X253" s="204"/>
      <c r="Y253" s="204"/>
      <c r="Z253" s="204"/>
      <c r="AA253" s="204"/>
      <c r="AB253" s="204"/>
      <c r="AC253" s="204"/>
      <c r="AD253" s="204"/>
      <c r="AE253" s="204"/>
      <c r="AF253" s="204"/>
      <c r="AG253" s="204"/>
      <c r="AH253" s="204"/>
      <c r="AI253" s="204"/>
      <c r="AJ253" s="204"/>
      <c r="AK253" s="204"/>
      <c r="AL253" s="204"/>
      <c r="AM253" s="204"/>
    </row>
    <row r="254" spans="1:39" outlineLevel="1" x14ac:dyDescent="0.35">
      <c r="A254" s="259"/>
      <c r="B254" s="204"/>
      <c r="C254" s="259"/>
      <c r="D254" s="204"/>
      <c r="E254" s="259"/>
      <c r="F254" s="204"/>
      <c r="G254" s="204"/>
      <c r="H254" s="204"/>
      <c r="I254" s="204"/>
      <c r="J254" s="204"/>
      <c r="K254" s="204"/>
      <c r="L254" s="204"/>
      <c r="M254" s="204"/>
      <c r="N254" s="204"/>
      <c r="O254" t="s">
        <v>300</v>
      </c>
      <c r="P254" t="s">
        <v>105</v>
      </c>
      <c r="Q254" t="s">
        <v>301</v>
      </c>
      <c r="R254" t="s">
        <v>302</v>
      </c>
      <c r="S254" s="204"/>
      <c r="T254" s="204"/>
      <c r="U254" s="204"/>
      <c r="V254" t="s">
        <v>300</v>
      </c>
      <c r="W254" t="s">
        <v>105</v>
      </c>
      <c r="X254" t="s">
        <v>301</v>
      </c>
      <c r="Y254" t="s">
        <v>302</v>
      </c>
      <c r="Z254" s="204"/>
      <c r="AA254" s="204"/>
      <c r="AB254" s="204"/>
      <c r="AC254" s="204"/>
      <c r="AD254" s="204"/>
      <c r="AE254" s="204"/>
      <c r="AF254" s="204"/>
      <c r="AG254" s="204"/>
      <c r="AH254" s="204"/>
      <c r="AI254" s="204"/>
      <c r="AJ254" t="s">
        <v>300</v>
      </c>
      <c r="AK254" t="s">
        <v>329</v>
      </c>
      <c r="AL254" t="s">
        <v>301</v>
      </c>
      <c r="AM254" t="s">
        <v>302</v>
      </c>
    </row>
    <row r="255" spans="1:39" outlineLevel="1" x14ac:dyDescent="0.35">
      <c r="A255" s="259"/>
      <c r="B255" s="204"/>
      <c r="C255" s="259"/>
      <c r="D255" s="204"/>
      <c r="E255" s="259"/>
      <c r="F255" s="204"/>
      <c r="G255" s="204"/>
      <c r="H255" s="204"/>
      <c r="I255" s="204"/>
      <c r="J255" s="204"/>
      <c r="K255" s="204"/>
      <c r="L255" s="204"/>
      <c r="M255" s="204"/>
      <c r="N255" s="204"/>
      <c r="O255" t="s">
        <v>88</v>
      </c>
      <c r="P255">
        <v>1800</v>
      </c>
      <c r="Q255">
        <v>900</v>
      </c>
      <c r="R255" s="65">
        <f>P255/P261</f>
        <v>900</v>
      </c>
      <c r="S255" s="204"/>
      <c r="T255" s="204"/>
      <c r="U255" s="204"/>
      <c r="V255" t="s">
        <v>88</v>
      </c>
      <c r="W255">
        <v>1800</v>
      </c>
      <c r="X255">
        <v>900</v>
      </c>
      <c r="Y255" s="65">
        <f>W255/W261</f>
        <v>900</v>
      </c>
      <c r="Z255" s="204"/>
      <c r="AA255" s="204"/>
      <c r="AB255" s="204"/>
      <c r="AC255" s="204"/>
      <c r="AD255" s="204"/>
      <c r="AE255" s="204"/>
      <c r="AF255" s="204"/>
      <c r="AG255" s="204"/>
      <c r="AH255" s="204"/>
      <c r="AI255" s="204"/>
      <c r="AJ255" t="s">
        <v>88</v>
      </c>
      <c r="AK255">
        <v>100</v>
      </c>
      <c r="AL255">
        <v>900</v>
      </c>
      <c r="AM255" s="65">
        <f>AK255/AK261</f>
        <v>100</v>
      </c>
    </row>
    <row r="256" spans="1:39" outlineLevel="1" x14ac:dyDescent="0.35">
      <c r="A256" s="259"/>
      <c r="B256" s="204"/>
      <c r="C256" s="259"/>
      <c r="D256" s="204"/>
      <c r="E256" s="259"/>
      <c r="F256" s="204"/>
      <c r="G256" s="204"/>
      <c r="H256" s="204"/>
      <c r="I256" s="204"/>
      <c r="J256" s="204"/>
      <c r="K256" s="204"/>
      <c r="L256" s="204"/>
      <c r="M256" s="204"/>
      <c r="N256" s="204"/>
      <c r="O256" t="s">
        <v>89</v>
      </c>
      <c r="P256" s="27">
        <v>0.48</v>
      </c>
      <c r="Q256" s="27">
        <v>0.24</v>
      </c>
      <c r="R256" s="38">
        <f>IF(R261="1.25m",P256/P261-SUM($K$8,$K$16)/P261,P256/P261)</f>
        <v>0.22249999999999998</v>
      </c>
      <c r="S256" s="204"/>
      <c r="T256" s="204"/>
      <c r="U256" s="204"/>
      <c r="V256" t="s">
        <v>89</v>
      </c>
      <c r="W256" s="27">
        <v>0.48</v>
      </c>
      <c r="X256" s="27">
        <v>0.24</v>
      </c>
      <c r="Y256" s="38">
        <f>IF(Y261="1.25m",W256/W261-SUM($K$8,$K$16)/W261,W256/W261)</f>
        <v>0.22249999999999998</v>
      </c>
      <c r="Z256" s="204"/>
      <c r="AA256" s="204"/>
      <c r="AB256" s="204"/>
      <c r="AC256" s="204"/>
      <c r="AD256" s="204"/>
      <c r="AE256" s="204"/>
      <c r="AF256" s="204"/>
      <c r="AG256" s="204"/>
      <c r="AH256" s="204"/>
      <c r="AI256" s="204"/>
      <c r="AJ256" t="s">
        <v>89</v>
      </c>
      <c r="AK256" s="27">
        <v>0.1</v>
      </c>
      <c r="AL256" s="27">
        <v>0.24</v>
      </c>
      <c r="AM256" s="38">
        <f>IF(AM261="1.25m",AK256/AK261-SUM($K$8,$K$16)/AK261,AK256/AK261)</f>
        <v>0.1</v>
      </c>
    </row>
    <row r="257" spans="1:39" outlineLevel="1" x14ac:dyDescent="0.35">
      <c r="A257" s="259"/>
      <c r="B257" s="204"/>
      <c r="C257" s="259"/>
      <c r="D257" s="204"/>
      <c r="E257" s="259"/>
      <c r="F257" s="204"/>
      <c r="G257" s="204"/>
      <c r="H257" s="204"/>
      <c r="I257" s="204"/>
      <c r="J257" s="204"/>
      <c r="K257" s="204"/>
      <c r="L257" s="204"/>
      <c r="M257" s="204"/>
      <c r="N257" s="204"/>
      <c r="O257" t="s">
        <v>278</v>
      </c>
      <c r="P257" s="82">
        <f>0.000014247685185*3.06</f>
        <v>4.3597916666100003E-5</v>
      </c>
      <c r="Q257" s="82">
        <v>1.4247685185E-5</v>
      </c>
      <c r="R257" s="93">
        <f>P257/P261</f>
        <v>2.1798958333050002E-5</v>
      </c>
      <c r="S257" s="204"/>
      <c r="T257" s="204"/>
      <c r="U257" s="204"/>
      <c r="V257" t="s">
        <v>278</v>
      </c>
      <c r="W257" s="82">
        <f>0.000014247685185*3.06</f>
        <v>4.3597916666100003E-5</v>
      </c>
      <c r="X257" s="82">
        <v>1.4247685185E-5</v>
      </c>
      <c r="Y257" s="93">
        <f>W257/W261</f>
        <v>2.1798958333050002E-5</v>
      </c>
      <c r="Z257" s="204"/>
      <c r="AA257" s="204"/>
      <c r="AB257" s="204"/>
      <c r="AC257" s="204"/>
      <c r="AD257" s="204"/>
      <c r="AE257" s="204"/>
      <c r="AF257" s="204"/>
      <c r="AG257" s="204"/>
      <c r="AH257" s="204"/>
      <c r="AI257" s="204"/>
      <c r="AJ257"/>
      <c r="AK257" s="82"/>
      <c r="AL257" s="82"/>
      <c r="AM257" s="93"/>
    </row>
    <row r="258" spans="1:39" outlineLevel="1" x14ac:dyDescent="0.35">
      <c r="A258" s="259"/>
      <c r="B258" s="204"/>
      <c r="C258" s="259"/>
      <c r="D258" s="204"/>
      <c r="E258" s="259"/>
      <c r="F258" s="204"/>
      <c r="G258" s="204"/>
      <c r="H258" s="204"/>
      <c r="I258" s="204"/>
      <c r="J258" s="204"/>
      <c r="K258" s="204"/>
      <c r="L258" s="204"/>
      <c r="M258" s="204"/>
      <c r="N258" s="204"/>
      <c r="O258" t="s">
        <v>282</v>
      </c>
      <c r="P258" s="82">
        <f>0.007123842592593*3.06</f>
        <v>2.1798958333334579E-2</v>
      </c>
      <c r="Q258" s="82">
        <v>7.1238425925929999E-3</v>
      </c>
      <c r="R258" s="96">
        <f>P258/P261</f>
        <v>1.0899479166667289E-2</v>
      </c>
      <c r="S258" s="204"/>
      <c r="T258" s="204"/>
      <c r="U258" s="204"/>
      <c r="V258" t="s">
        <v>282</v>
      </c>
      <c r="W258" s="82">
        <f>0.007123842592593*3.06</f>
        <v>2.1798958333334579E-2</v>
      </c>
      <c r="X258" s="82">
        <v>7.1238425925929999E-3</v>
      </c>
      <c r="Y258" s="96">
        <f>W258/W261</f>
        <v>1.0899479166667289E-2</v>
      </c>
      <c r="Z258" s="204"/>
      <c r="AA258" s="204"/>
      <c r="AB258" s="204"/>
      <c r="AC258" s="204"/>
      <c r="AD258" s="204"/>
      <c r="AE258" s="204"/>
      <c r="AF258" s="204"/>
      <c r="AG258" s="204"/>
      <c r="AH258" s="204"/>
      <c r="AI258" s="204"/>
      <c r="AJ258" t="s">
        <v>282</v>
      </c>
      <c r="AK258" s="82">
        <v>0.5</v>
      </c>
      <c r="AL258" s="82">
        <v>7.1238425925929999E-3</v>
      </c>
      <c r="AM258" s="96">
        <f>AK258/AK261</f>
        <v>0.5</v>
      </c>
    </row>
    <row r="259" spans="1:39" outlineLevel="1" x14ac:dyDescent="0.35">
      <c r="A259" s="259"/>
      <c r="B259" s="204"/>
      <c r="C259" s="259"/>
      <c r="D259" s="204"/>
      <c r="E259" s="259"/>
      <c r="F259" s="204"/>
      <c r="G259" s="204"/>
      <c r="H259" s="204"/>
      <c r="I259" s="204"/>
      <c r="J259" s="204"/>
      <c r="K259" s="204"/>
      <c r="L259" s="204"/>
      <c r="M259" s="204"/>
      <c r="N259" s="204"/>
      <c r="O259" t="s">
        <v>25</v>
      </c>
      <c r="P259">
        <f>0.000011188078704*3.06</f>
        <v>3.4235520834240001E-5</v>
      </c>
      <c r="Q259">
        <v>1.1188078703999999E-5</v>
      </c>
      <c r="R259" s="93">
        <f>P259/P261</f>
        <v>1.7117760417120001E-5</v>
      </c>
      <c r="S259" s="204"/>
      <c r="T259" s="204"/>
      <c r="U259" s="204"/>
      <c r="V259" t="s">
        <v>25</v>
      </c>
      <c r="W259">
        <f>0.000011188078704*3.06</f>
        <v>3.4235520834240001E-5</v>
      </c>
      <c r="X259">
        <v>1.1188078703999999E-5</v>
      </c>
      <c r="Y259" s="93">
        <f>W259/W261</f>
        <v>1.7117760417120001E-5</v>
      </c>
      <c r="Z259" s="204"/>
      <c r="AA259" s="204"/>
      <c r="AB259" s="204"/>
      <c r="AC259" s="204"/>
      <c r="AD259" s="204"/>
      <c r="AE259" s="204"/>
      <c r="AF259" s="204"/>
      <c r="AG259" s="204"/>
      <c r="AH259" s="204"/>
      <c r="AI259" s="204"/>
      <c r="AJ259"/>
      <c r="AK259"/>
      <c r="AL259"/>
      <c r="AM259" s="93"/>
    </row>
    <row r="260" spans="1:39" outlineLevel="1" x14ac:dyDescent="0.35">
      <c r="A260" s="259"/>
      <c r="B260" s="204"/>
      <c r="C260" s="259"/>
      <c r="D260" s="204"/>
      <c r="E260" s="259"/>
      <c r="F260" s="204"/>
      <c r="G260" s="204"/>
      <c r="H260" s="204"/>
      <c r="I260" s="204"/>
      <c r="J260" s="204"/>
      <c r="K260" s="204"/>
      <c r="L260" s="204"/>
      <c r="M260" s="204"/>
      <c r="N260" s="204"/>
      <c r="O260" t="s">
        <v>74</v>
      </c>
      <c r="P260">
        <f>0.000001994675926*3.06</f>
        <v>6.1037083335599999E-6</v>
      </c>
      <c r="Q260">
        <v>1.9946759259999999E-6</v>
      </c>
      <c r="R260" s="93">
        <f>P260/P261</f>
        <v>3.0518541667799999E-6</v>
      </c>
      <c r="S260" s="204"/>
      <c r="T260" s="204"/>
      <c r="U260" s="204"/>
      <c r="V260" t="s">
        <v>74</v>
      </c>
      <c r="W260">
        <f>0.000001994675926*3.06</f>
        <v>6.1037083335599999E-6</v>
      </c>
      <c r="X260">
        <v>1.9946759259999999E-6</v>
      </c>
      <c r="Y260" s="93">
        <f>W260/W261</f>
        <v>3.0518541667799999E-6</v>
      </c>
      <c r="Z260" s="204"/>
      <c r="AA260" s="204"/>
      <c r="AB260" s="204"/>
      <c r="AC260" s="204"/>
      <c r="AD260" s="204"/>
      <c r="AE260" s="204"/>
      <c r="AF260" s="204"/>
      <c r="AG260" s="204"/>
      <c r="AH260" s="204"/>
      <c r="AI260" s="204"/>
      <c r="AJ260"/>
      <c r="AK260"/>
      <c r="AL260"/>
      <c r="AM260" s="93"/>
    </row>
    <row r="261" spans="1:39" outlineLevel="1" x14ac:dyDescent="0.35">
      <c r="B261" s="204"/>
      <c r="C261" s="204"/>
      <c r="D261" s="204"/>
      <c r="E261" s="201"/>
      <c r="F261" s="204"/>
      <c r="G261" s="204"/>
      <c r="H261" s="204"/>
      <c r="I261" s="204"/>
      <c r="J261" s="204"/>
      <c r="K261" s="204"/>
      <c r="L261" s="204"/>
      <c r="M261" s="204"/>
      <c r="N261" s="204"/>
      <c r="O261" s="33" t="s">
        <v>303</v>
      </c>
      <c r="P261" s="2">
        <v>2</v>
      </c>
      <c r="Q261" s="34" t="s">
        <v>304</v>
      </c>
      <c r="R261" s="2" t="s">
        <v>46</v>
      </c>
      <c r="S261" s="204"/>
      <c r="T261" s="204"/>
      <c r="U261" s="204"/>
      <c r="V261" s="33" t="s">
        <v>303</v>
      </c>
      <c r="W261" s="2">
        <v>2</v>
      </c>
      <c r="X261" s="34" t="s">
        <v>304</v>
      </c>
      <c r="Y261" s="2" t="s">
        <v>46</v>
      </c>
      <c r="Z261" s="204"/>
      <c r="AA261" s="204"/>
      <c r="AB261" s="204"/>
      <c r="AC261" s="204"/>
      <c r="AD261" s="204"/>
      <c r="AE261" s="204"/>
      <c r="AF261" s="204"/>
      <c r="AG261" s="204"/>
      <c r="AH261" s="204"/>
      <c r="AI261" s="204"/>
      <c r="AJ261" s="33" t="s">
        <v>303</v>
      </c>
      <c r="AK261" s="2">
        <v>1</v>
      </c>
      <c r="AL261" s="34" t="s">
        <v>304</v>
      </c>
      <c r="AM261" s="2" t="s">
        <v>45</v>
      </c>
    </row>
    <row r="262" spans="1:39" x14ac:dyDescent="0.35">
      <c r="B262" s="204"/>
      <c r="C262" s="43" t="s">
        <v>355</v>
      </c>
      <c r="D262" s="204"/>
      <c r="E262" s="201"/>
      <c r="F262" s="204"/>
      <c r="G262" s="204"/>
      <c r="H262" s="204"/>
      <c r="I262" s="204"/>
      <c r="J262" s="204"/>
      <c r="K262" s="204"/>
      <c r="L262" s="204"/>
      <c r="M262" s="204"/>
      <c r="N262" s="204"/>
      <c r="O262" s="204"/>
      <c r="P262" s="204"/>
      <c r="Q262" s="204"/>
      <c r="R262" s="204"/>
      <c r="S262" s="204"/>
      <c r="T262" s="204"/>
      <c r="U262" s="204"/>
      <c r="V262" s="204"/>
      <c r="W262" s="204"/>
      <c r="X262" s="204"/>
      <c r="Y262" s="204"/>
      <c r="Z262" s="204"/>
      <c r="AA262" s="204"/>
      <c r="AB262" s="204"/>
      <c r="AC262" s="204"/>
      <c r="AD262" s="204"/>
      <c r="AE262" s="204"/>
      <c r="AF262" s="204"/>
      <c r="AG262" s="204"/>
      <c r="AH262" s="204"/>
      <c r="AI262" s="204"/>
      <c r="AJ262" s="204"/>
      <c r="AK262" s="204"/>
      <c r="AL262" s="204"/>
      <c r="AM262" s="204"/>
    </row>
    <row r="263" spans="1:39" ht="23.25" customHeight="1" outlineLevel="1" x14ac:dyDescent="0.55000000000000004">
      <c r="B263" s="204"/>
      <c r="C263" s="259" t="s">
        <v>372</v>
      </c>
      <c r="D263" s="204"/>
      <c r="E263" s="262" t="s">
        <v>373</v>
      </c>
      <c r="F263" s="204"/>
      <c r="G263" s="88" t="s">
        <v>374</v>
      </c>
      <c r="H263" s="204"/>
      <c r="I263" s="204"/>
      <c r="J263" s="204"/>
      <c r="K263" s="204"/>
      <c r="L263" s="204"/>
      <c r="M263" s="204"/>
      <c r="N263" s="204"/>
      <c r="O263" s="204"/>
      <c r="P263" s="204"/>
      <c r="Q263" s="204"/>
      <c r="R263" s="204"/>
      <c r="S263" s="204"/>
      <c r="T263" s="204"/>
      <c r="U263" s="204"/>
      <c r="V263" s="204"/>
      <c r="W263" s="204"/>
      <c r="X263" s="204"/>
      <c r="Y263" s="204"/>
      <c r="Z263" s="204"/>
      <c r="AA263" s="204"/>
      <c r="AB263" s="204"/>
      <c r="AC263" s="204"/>
      <c r="AD263" s="204"/>
      <c r="AE263" s="204"/>
      <c r="AF263" s="204"/>
      <c r="AG263" s="204"/>
      <c r="AH263" s="204"/>
      <c r="AI263" s="204"/>
      <c r="AJ263" s="204"/>
      <c r="AK263" s="204"/>
      <c r="AL263" s="204"/>
      <c r="AM263" s="204"/>
    </row>
    <row r="264" spans="1:39" outlineLevel="1" x14ac:dyDescent="0.35">
      <c r="B264" s="204"/>
      <c r="C264" s="259"/>
      <c r="D264" s="204"/>
      <c r="E264" s="262"/>
      <c r="F264" s="204"/>
      <c r="G264" s="204" t="s">
        <v>375</v>
      </c>
      <c r="H264" s="204"/>
      <c r="I264" s="204"/>
      <c r="J264" s="204"/>
      <c r="K264" s="204"/>
      <c r="L264" s="204"/>
      <c r="M264" s="204"/>
      <c r="N264" s="204"/>
      <c r="O264" s="204"/>
      <c r="P264" s="204"/>
      <c r="Q264" s="204"/>
      <c r="R264" s="204"/>
      <c r="S264" s="204"/>
      <c r="T264" s="204"/>
      <c r="U264" s="204"/>
      <c r="V264" s="204"/>
      <c r="W264" s="204"/>
      <c r="X264" s="204"/>
      <c r="Y264" s="204"/>
      <c r="Z264" s="204"/>
      <c r="AA264" s="204"/>
      <c r="AB264" s="204"/>
      <c r="AC264" s="204"/>
      <c r="AD264" s="204"/>
      <c r="AE264" s="204"/>
      <c r="AF264" s="204"/>
      <c r="AG264" s="204"/>
      <c r="AH264" s="204"/>
      <c r="AI264" s="204"/>
      <c r="AJ264" s="204"/>
      <c r="AK264" s="204"/>
      <c r="AL264" s="204"/>
      <c r="AM264" s="204"/>
    </row>
    <row r="265" spans="1:39" outlineLevel="1" x14ac:dyDescent="0.35">
      <c r="B265" s="204"/>
      <c r="C265" s="259"/>
      <c r="D265" s="204"/>
      <c r="E265" s="262"/>
      <c r="F265" s="204"/>
      <c r="G265" t="s">
        <v>376</v>
      </c>
      <c r="H265" s="204"/>
      <c r="I265" s="204"/>
      <c r="J265" s="204"/>
      <c r="K265" s="204"/>
      <c r="L265" s="204"/>
      <c r="M265" s="204"/>
      <c r="N265" s="204"/>
      <c r="O265" s="204"/>
      <c r="P265" s="204"/>
      <c r="Q265" s="204"/>
      <c r="R265" s="204"/>
      <c r="S265" s="204"/>
      <c r="T265" s="204"/>
      <c r="U265" s="204"/>
      <c r="V265" s="204"/>
      <c r="W265" s="204"/>
      <c r="X265" s="204"/>
      <c r="Y265" s="204"/>
      <c r="Z265" s="204"/>
      <c r="AA265" s="204"/>
      <c r="AB265" s="204"/>
      <c r="AC265" s="204"/>
      <c r="AD265" s="204"/>
      <c r="AE265" s="204"/>
      <c r="AF265" s="204"/>
      <c r="AG265" s="204"/>
      <c r="AH265" s="204"/>
      <c r="AI265" s="204"/>
      <c r="AJ265" s="204"/>
      <c r="AK265" s="204"/>
      <c r="AL265" s="204"/>
      <c r="AM265" s="204"/>
    </row>
    <row r="266" spans="1:39" outlineLevel="1" x14ac:dyDescent="0.35">
      <c r="B266" s="204"/>
      <c r="C266" s="259"/>
      <c r="D266" s="204"/>
      <c r="E266" s="262"/>
      <c r="F266" s="204"/>
      <c r="G266" s="204"/>
      <c r="H266" t="s">
        <v>300</v>
      </c>
      <c r="I266" t="s">
        <v>85</v>
      </c>
      <c r="J266" t="s">
        <v>301</v>
      </c>
      <c r="K266" t="s">
        <v>302</v>
      </c>
      <c r="L266" s="204"/>
      <c r="M266" s="204"/>
      <c r="N266" s="204"/>
      <c r="O266" s="204"/>
      <c r="P266" s="204"/>
      <c r="Q266" s="204"/>
      <c r="R266" s="204"/>
      <c r="S266" s="204"/>
      <c r="T266" s="204"/>
      <c r="U266" s="204"/>
      <c r="V266" s="204"/>
      <c r="W266" s="204"/>
      <c r="X266" s="204"/>
      <c r="Y266" s="204"/>
      <c r="Z266" s="204"/>
      <c r="AA266" s="204"/>
      <c r="AB266" s="204"/>
      <c r="AC266" s="204"/>
      <c r="AD266" s="204"/>
      <c r="AE266" s="204"/>
      <c r="AF266" s="204"/>
      <c r="AG266" s="204"/>
      <c r="AH266" s="204"/>
      <c r="AI266" s="204"/>
      <c r="AJ266" s="204"/>
      <c r="AK266" s="204"/>
      <c r="AL266" s="204"/>
      <c r="AM266" s="204"/>
    </row>
    <row r="267" spans="1:39" outlineLevel="1" x14ac:dyDescent="0.35">
      <c r="B267" s="204"/>
      <c r="C267" s="259"/>
      <c r="D267" s="204"/>
      <c r="E267" s="262"/>
      <c r="F267" s="204"/>
      <c r="G267" s="204"/>
      <c r="H267" t="s">
        <v>88</v>
      </c>
      <c r="I267">
        <v>6500</v>
      </c>
      <c r="J267"/>
      <c r="K267" s="37">
        <f>I267/I272</f>
        <v>6500</v>
      </c>
      <c r="L267" s="204"/>
      <c r="M267" s="204"/>
      <c r="N267" s="204"/>
      <c r="O267" s="204"/>
      <c r="P267" s="204"/>
      <c r="Q267" s="204"/>
      <c r="R267" s="204"/>
      <c r="S267" s="204"/>
      <c r="T267" s="204"/>
      <c r="U267" s="204"/>
      <c r="V267" s="204"/>
      <c r="W267" s="204"/>
      <c r="X267" s="204"/>
      <c r="Y267" s="204"/>
      <c r="Z267" s="204"/>
      <c r="AA267" s="204"/>
      <c r="AB267" s="204"/>
      <c r="AC267" s="204"/>
      <c r="AD267" s="204"/>
      <c r="AE267" s="204"/>
      <c r="AF267" s="204"/>
      <c r="AG267" s="204"/>
      <c r="AH267" s="204"/>
      <c r="AI267" s="204"/>
      <c r="AJ267" s="204"/>
      <c r="AK267" s="204"/>
      <c r="AL267" s="204"/>
      <c r="AM267" s="204"/>
    </row>
    <row r="268" spans="1:39" outlineLevel="1" x14ac:dyDescent="0.35">
      <c r="B268" s="204"/>
      <c r="C268" s="259"/>
      <c r="D268" s="204"/>
      <c r="E268" s="262"/>
      <c r="F268" s="204"/>
      <c r="G268" s="204"/>
      <c r="H268" t="s">
        <v>89</v>
      </c>
      <c r="I268" s="27">
        <v>5.0000000000000001E-3</v>
      </c>
      <c r="J268" s="27"/>
      <c r="K268" s="38">
        <f>IF(K272="1.25m",I268/I272-SUM($K$8,$K$16)/I272,I268/I272)</f>
        <v>5.0000000000000001E-3</v>
      </c>
      <c r="L268" s="204"/>
      <c r="M268" s="204"/>
      <c r="N268" s="204"/>
      <c r="O268" s="204"/>
      <c r="P268" s="204"/>
      <c r="Q268" s="204"/>
      <c r="R268" s="204"/>
      <c r="S268" s="204"/>
      <c r="T268" s="204"/>
      <c r="U268" s="204"/>
      <c r="V268" s="204"/>
      <c r="W268" s="204"/>
      <c r="X268" s="204"/>
      <c r="Y268" s="204"/>
      <c r="Z268" s="204"/>
      <c r="AA268" s="204"/>
      <c r="AB268" s="204"/>
      <c r="AC268" s="204"/>
      <c r="AD268" s="204"/>
      <c r="AE268" s="204"/>
      <c r="AF268" s="204"/>
      <c r="AG268" s="204"/>
      <c r="AH268" s="204"/>
      <c r="AI268" s="204"/>
      <c r="AJ268" s="204"/>
      <c r="AK268" s="204"/>
      <c r="AL268" s="204"/>
      <c r="AM268" s="204"/>
    </row>
    <row r="269" spans="1:39" outlineLevel="1" x14ac:dyDescent="0.35">
      <c r="B269" s="204"/>
      <c r="C269" s="259"/>
      <c r="D269" s="204"/>
      <c r="E269" s="262"/>
      <c r="F269" s="204"/>
      <c r="G269" s="204"/>
      <c r="H269" t="s">
        <v>377</v>
      </c>
      <c r="I269">
        <v>0</v>
      </c>
      <c r="J269"/>
      <c r="K269" s="37">
        <f>I269/I272</f>
        <v>0</v>
      </c>
      <c r="L269" s="204"/>
      <c r="M269" s="204"/>
      <c r="N269" s="204"/>
      <c r="O269" s="204"/>
      <c r="P269" s="204"/>
      <c r="Q269" s="204"/>
      <c r="R269" s="204"/>
      <c r="S269" s="204"/>
      <c r="T269" s="204"/>
      <c r="U269" s="204"/>
      <c r="V269" s="204"/>
      <c r="W269" s="204"/>
      <c r="X269" s="204"/>
      <c r="Y269" s="204"/>
      <c r="Z269" s="204"/>
      <c r="AA269" s="204"/>
      <c r="AB269" s="204"/>
      <c r="AC269" s="204"/>
      <c r="AD269" s="204"/>
      <c r="AE269" s="204"/>
      <c r="AF269" s="204"/>
      <c r="AG269" s="204"/>
      <c r="AH269" s="204"/>
      <c r="AI269" s="204"/>
      <c r="AJ269" s="204"/>
      <c r="AK269" s="204"/>
      <c r="AL269" s="204"/>
      <c r="AM269" s="204"/>
    </row>
    <row r="270" spans="1:39" outlineLevel="1" x14ac:dyDescent="0.35">
      <c r="B270" s="204"/>
      <c r="C270" s="259"/>
      <c r="D270" s="204"/>
      <c r="E270" s="262"/>
      <c r="F270" s="204"/>
      <c r="G270" s="204"/>
      <c r="H270" s="29" t="s">
        <v>313</v>
      </c>
      <c r="I270" s="30" t="e">
        <f>I267-INDEX(CommunityResourcePack[unitCost],MATCH(H269,CommunityResourcePack[name],0))*I269</f>
        <v>#N/A</v>
      </c>
      <c r="J270" s="30" t="e">
        <f>J267-INDEX(CommunityResourcePack[unitCost],MATCH(H269,CommunityResourcePack[name],0))*J269</f>
        <v>#N/A</v>
      </c>
      <c r="K270" s="30" t="e">
        <f>I270/I272</f>
        <v>#N/A</v>
      </c>
      <c r="L270" s="204"/>
      <c r="M270" s="204"/>
      <c r="N270" s="204"/>
      <c r="O270" s="204"/>
      <c r="P270" s="204"/>
      <c r="Q270" s="204"/>
      <c r="R270" s="204"/>
      <c r="S270" s="204"/>
      <c r="T270" s="204"/>
      <c r="U270" s="204"/>
      <c r="V270" s="204"/>
      <c r="W270" s="204"/>
      <c r="X270" s="204"/>
      <c r="Y270" s="204"/>
      <c r="Z270" s="204"/>
      <c r="AA270" s="204"/>
      <c r="AB270" s="204"/>
      <c r="AC270" s="204"/>
      <c r="AD270" s="204"/>
      <c r="AE270" s="204"/>
      <c r="AF270" s="204"/>
      <c r="AG270" s="204"/>
      <c r="AH270" s="204"/>
      <c r="AI270" s="204"/>
      <c r="AJ270" s="204"/>
      <c r="AK270" s="204"/>
      <c r="AL270" s="204"/>
      <c r="AM270" s="204"/>
    </row>
    <row r="271" spans="1:39" outlineLevel="1" x14ac:dyDescent="0.35">
      <c r="B271" s="204"/>
      <c r="C271" s="259"/>
      <c r="D271" s="204"/>
      <c r="E271" s="262"/>
      <c r="F271" s="204"/>
      <c r="G271" s="204"/>
      <c r="H271" s="29" t="s">
        <v>314</v>
      </c>
      <c r="I271" s="31" t="e">
        <f>I268+INDEX(CommunityResourcePack[density],MATCH(H269,CommunityResourcePack[name],0))*I269</f>
        <v>#N/A</v>
      </c>
      <c r="J271" s="31" t="e">
        <f>J268+INDEX(CommunityResourcePack[density],MATCH(H269,CommunityResourcePack[name],0))*J269</f>
        <v>#N/A</v>
      </c>
      <c r="K271" s="31" t="e">
        <f>IF(K272="1.25m",I271/I272-SUM($K$8,$K$16)/I272,I271/I272)</f>
        <v>#N/A</v>
      </c>
      <c r="L271" s="204"/>
      <c r="M271" s="204"/>
      <c r="N271" s="204"/>
      <c r="O271" s="204"/>
      <c r="P271" s="204"/>
      <c r="Q271" s="204"/>
      <c r="R271" s="204"/>
      <c r="S271" s="204"/>
      <c r="T271" s="204"/>
      <c r="U271" s="204"/>
      <c r="V271" s="204"/>
      <c r="W271" s="204"/>
      <c r="X271" s="204"/>
      <c r="Y271" s="204"/>
      <c r="Z271" s="204"/>
      <c r="AA271" s="204"/>
      <c r="AB271" s="204"/>
      <c r="AC271" s="204"/>
      <c r="AD271" s="204"/>
      <c r="AE271" s="204"/>
      <c r="AF271" s="204"/>
      <c r="AG271" s="204"/>
      <c r="AH271" s="204"/>
      <c r="AI271" s="204"/>
      <c r="AJ271" s="204"/>
      <c r="AK271" s="204"/>
      <c r="AL271" s="204"/>
      <c r="AM271" s="204"/>
    </row>
    <row r="272" spans="1:39" outlineLevel="1" x14ac:dyDescent="0.35">
      <c r="B272" s="204"/>
      <c r="C272" s="259"/>
      <c r="D272" s="204"/>
      <c r="E272" s="262"/>
      <c r="F272" s="204"/>
      <c r="G272" s="204"/>
      <c r="H272" s="33" t="s">
        <v>303</v>
      </c>
      <c r="I272" s="2">
        <v>1</v>
      </c>
      <c r="J272" s="34" t="s">
        <v>304</v>
      </c>
      <c r="K272" s="2" t="s">
        <v>45</v>
      </c>
      <c r="L272" s="204"/>
      <c r="M272" s="204"/>
      <c r="N272" s="204"/>
      <c r="O272" s="204"/>
      <c r="P272" s="204"/>
      <c r="Q272" s="204"/>
      <c r="R272" s="204"/>
      <c r="S272" s="204"/>
      <c r="T272" s="204"/>
      <c r="U272" s="204"/>
      <c r="V272" s="204"/>
      <c r="W272" s="204"/>
      <c r="X272" s="204"/>
      <c r="Y272" s="204"/>
      <c r="Z272" s="204"/>
      <c r="AA272" s="204"/>
      <c r="AB272" s="204"/>
      <c r="AC272" s="204"/>
      <c r="AD272" s="204"/>
      <c r="AE272" s="204"/>
      <c r="AF272" s="204"/>
      <c r="AG272" s="204"/>
      <c r="AH272" s="204"/>
      <c r="AI272" s="204"/>
      <c r="AJ272" s="204"/>
      <c r="AK272" s="204"/>
      <c r="AL272" s="204"/>
      <c r="AM272" s="204"/>
    </row>
    <row r="273" spans="3:11" outlineLevel="1" x14ac:dyDescent="0.35">
      <c r="C273" s="259"/>
      <c r="D273" s="204"/>
      <c r="E273" s="99"/>
      <c r="F273" s="204"/>
      <c r="G273" s="204"/>
      <c r="H273" s="204"/>
      <c r="I273" s="204"/>
      <c r="J273" s="204"/>
      <c r="K273" s="204"/>
    </row>
    <row r="274" spans="3:11" ht="23.5" outlineLevel="1" x14ac:dyDescent="0.55000000000000004">
      <c r="C274" s="259"/>
      <c r="D274" s="204"/>
      <c r="E274" s="259" t="s">
        <v>378</v>
      </c>
      <c r="F274" s="204"/>
      <c r="G274" s="88" t="s">
        <v>379</v>
      </c>
      <c r="H274" s="204"/>
      <c r="I274" s="204"/>
      <c r="J274" s="204"/>
      <c r="K274" s="204"/>
    </row>
    <row r="275" spans="3:11" outlineLevel="1" x14ac:dyDescent="0.35">
      <c r="C275" s="259"/>
      <c r="D275" s="204"/>
      <c r="E275" s="259"/>
      <c r="F275" s="204"/>
      <c r="G275" s="204" t="s">
        <v>380</v>
      </c>
      <c r="H275" s="204"/>
      <c r="I275" s="204"/>
      <c r="J275" s="204"/>
      <c r="K275" s="204"/>
    </row>
    <row r="276" spans="3:11" outlineLevel="1" x14ac:dyDescent="0.35">
      <c r="C276" s="259"/>
      <c r="D276" s="204"/>
      <c r="E276" s="259"/>
      <c r="F276" s="204"/>
      <c r="G276" t="s">
        <v>381</v>
      </c>
      <c r="H276" s="204"/>
      <c r="I276" s="204"/>
      <c r="J276" s="204"/>
      <c r="K276" s="204"/>
    </row>
    <row r="277" spans="3:11" outlineLevel="1" x14ac:dyDescent="0.35">
      <c r="C277" s="259"/>
      <c r="D277" s="204"/>
      <c r="E277" s="259"/>
      <c r="F277" s="204"/>
      <c r="G277" s="204"/>
      <c r="H277" t="s">
        <v>300</v>
      </c>
      <c r="I277" t="s">
        <v>85</v>
      </c>
      <c r="J277" t="s">
        <v>301</v>
      </c>
      <c r="K277" t="s">
        <v>302</v>
      </c>
    </row>
    <row r="278" spans="3:11" outlineLevel="1" x14ac:dyDescent="0.35">
      <c r="C278" s="259"/>
      <c r="D278" s="204"/>
      <c r="E278" s="259"/>
      <c r="F278" s="204"/>
      <c r="G278" s="204"/>
      <c r="H278" t="s">
        <v>88</v>
      </c>
      <c r="I278">
        <v>800</v>
      </c>
      <c r="J278" s="65">
        <v>1200</v>
      </c>
      <c r="K278" s="97">
        <f>I278/I283</f>
        <v>1066.6666666666667</v>
      </c>
    </row>
    <row r="279" spans="3:11" outlineLevel="1" x14ac:dyDescent="0.35">
      <c r="C279" s="259"/>
      <c r="D279" s="204"/>
      <c r="E279" s="259"/>
      <c r="F279" s="204"/>
      <c r="G279" s="204"/>
      <c r="H279" t="s">
        <v>89</v>
      </c>
      <c r="I279" s="27">
        <v>0.05</v>
      </c>
      <c r="J279" s="38">
        <v>7.4999999999999997E-2</v>
      </c>
      <c r="K279" s="98">
        <f>IF(K283="1.25m",I279/I283-SUM($K$8,$K$16)/I283,I279/I283)</f>
        <v>6.6666666666666666E-2</v>
      </c>
    </row>
    <row r="280" spans="3:11" outlineLevel="1" x14ac:dyDescent="0.35">
      <c r="C280" s="259"/>
      <c r="D280" s="204"/>
      <c r="E280" s="259"/>
      <c r="F280" s="204"/>
      <c r="G280" s="204"/>
      <c r="H280" t="s">
        <v>377</v>
      </c>
      <c r="I280">
        <v>0</v>
      </c>
      <c r="J280" s="65">
        <v>0</v>
      </c>
      <c r="K280" s="97">
        <f>I280/I283</f>
        <v>0</v>
      </c>
    </row>
    <row r="281" spans="3:11" outlineLevel="1" x14ac:dyDescent="0.35">
      <c r="C281" s="259"/>
      <c r="D281" s="204"/>
      <c r="E281" s="259"/>
      <c r="F281" s="204"/>
      <c r="G281" s="204"/>
      <c r="H281" s="29" t="s">
        <v>313</v>
      </c>
      <c r="I281" s="30" t="e">
        <f>I278-INDEX(CommunityResourcePack[unitCost],MATCH(H280,CommunityResourcePack[name],0))*I280</f>
        <v>#N/A</v>
      </c>
      <c r="J281" s="30" t="e">
        <f>J278-INDEX(CommunityResourcePack[unitCost],MATCH(H280,CommunityResourcePack[name],0))*J280</f>
        <v>#N/A</v>
      </c>
      <c r="K281" s="30" t="e">
        <f>I281/I283</f>
        <v>#N/A</v>
      </c>
    </row>
    <row r="282" spans="3:11" outlineLevel="1" x14ac:dyDescent="0.35">
      <c r="C282" s="259"/>
      <c r="D282" s="204"/>
      <c r="E282" s="259"/>
      <c r="F282" s="204"/>
      <c r="G282" s="204"/>
      <c r="H282" s="29" t="s">
        <v>314</v>
      </c>
      <c r="I282" s="31" t="e">
        <f>I279+INDEX(CommunityResourcePack[density],MATCH(H280,CommunityResourcePack[name],0))*I280</f>
        <v>#N/A</v>
      </c>
      <c r="J282" s="31" t="e">
        <f>J279+INDEX(CommunityResourcePack[density],MATCH(H280,CommunityResourcePack[name],0))*J280</f>
        <v>#N/A</v>
      </c>
      <c r="K282" s="31" t="e">
        <f>IF(K283="1.25m",I282/I283-SUM($K$8,$K$16)/I283,I282/I283)</f>
        <v>#N/A</v>
      </c>
    </row>
    <row r="283" spans="3:11" outlineLevel="1" x14ac:dyDescent="0.35">
      <c r="C283" s="259"/>
      <c r="D283" s="204"/>
      <c r="E283" s="259"/>
      <c r="F283" s="204"/>
      <c r="G283" s="204"/>
      <c r="H283" s="33" t="s">
        <v>303</v>
      </c>
      <c r="I283" s="2">
        <v>0.75</v>
      </c>
      <c r="J283" s="34" t="s">
        <v>304</v>
      </c>
      <c r="K283" s="2" t="s">
        <v>45</v>
      </c>
    </row>
    <row r="284" spans="3:11" outlineLevel="1" x14ac:dyDescent="0.35">
      <c r="C284" s="259"/>
      <c r="D284" s="204"/>
      <c r="E284" s="99"/>
      <c r="F284" s="204"/>
      <c r="G284" s="204"/>
      <c r="H284" s="204"/>
      <c r="I284" s="204"/>
      <c r="J284" s="204"/>
      <c r="K284" s="204"/>
    </row>
    <row r="285" spans="3:11" ht="23.5" outlineLevel="1" x14ac:dyDescent="0.55000000000000004">
      <c r="C285" s="259"/>
      <c r="D285" s="204"/>
      <c r="E285" s="259" t="s">
        <v>382</v>
      </c>
      <c r="F285" s="204"/>
      <c r="G285" s="88" t="s">
        <v>383</v>
      </c>
      <c r="H285" s="204"/>
      <c r="I285" s="204"/>
      <c r="J285" s="204"/>
      <c r="K285" s="204"/>
    </row>
    <row r="286" spans="3:11" outlineLevel="1" x14ac:dyDescent="0.35">
      <c r="C286" s="259"/>
      <c r="D286" s="204"/>
      <c r="E286" s="259"/>
      <c r="F286" s="204"/>
      <c r="G286" s="204" t="s">
        <v>345</v>
      </c>
      <c r="H286" s="204"/>
      <c r="I286" s="204"/>
      <c r="J286" s="204"/>
      <c r="K286" s="204"/>
    </row>
    <row r="287" spans="3:11" outlineLevel="1" x14ac:dyDescent="0.35">
      <c r="C287" s="259"/>
      <c r="D287" s="204"/>
      <c r="E287" s="259"/>
      <c r="F287" s="204"/>
      <c r="G287" t="s">
        <v>384</v>
      </c>
      <c r="H287" s="204"/>
      <c r="I287" s="204"/>
      <c r="J287" s="204"/>
      <c r="K287" s="204"/>
    </row>
    <row r="288" spans="3:11" outlineLevel="1" x14ac:dyDescent="0.35">
      <c r="C288" s="259"/>
      <c r="D288" s="204"/>
      <c r="E288" s="259"/>
      <c r="F288" s="204"/>
      <c r="G288" s="204"/>
      <c r="H288" t="s">
        <v>300</v>
      </c>
      <c r="I288" t="s">
        <v>85</v>
      </c>
      <c r="J288" t="s">
        <v>301</v>
      </c>
      <c r="K288" t="s">
        <v>302</v>
      </c>
    </row>
    <row r="289" spans="3:11" outlineLevel="1" x14ac:dyDescent="0.35">
      <c r="C289" s="259"/>
      <c r="D289" s="204"/>
      <c r="E289" s="259"/>
      <c r="F289" s="204"/>
      <c r="G289" s="204"/>
      <c r="H289" t="s">
        <v>88</v>
      </c>
      <c r="I289">
        <v>1800</v>
      </c>
      <c r="J289" s="65">
        <v>2400</v>
      </c>
      <c r="K289" s="97">
        <f>I289/I294</f>
        <v>2400</v>
      </c>
    </row>
    <row r="290" spans="3:11" outlineLevel="1" x14ac:dyDescent="0.35">
      <c r="C290" s="259"/>
      <c r="D290" s="204"/>
      <c r="E290" s="259"/>
      <c r="F290" s="204"/>
      <c r="G290" s="204"/>
      <c r="H290" t="s">
        <v>89</v>
      </c>
      <c r="I290" s="27">
        <v>0.2</v>
      </c>
      <c r="J290" s="38">
        <v>0.3</v>
      </c>
      <c r="K290" s="98">
        <f>IF(K294="1.25m",I290/I294-SUM($K$8,$K$16)/I294,I290/I294)</f>
        <v>0.26666666666666666</v>
      </c>
    </row>
    <row r="291" spans="3:11" outlineLevel="1" x14ac:dyDescent="0.35">
      <c r="C291" s="259"/>
      <c r="D291" s="204"/>
      <c r="E291" s="259"/>
      <c r="F291" s="204"/>
      <c r="G291" s="204"/>
      <c r="H291" t="s">
        <v>377</v>
      </c>
      <c r="I291">
        <v>0</v>
      </c>
      <c r="J291" s="65">
        <v>0</v>
      </c>
      <c r="K291" s="97">
        <f>I291/I294</f>
        <v>0</v>
      </c>
    </row>
    <row r="292" spans="3:11" outlineLevel="1" x14ac:dyDescent="0.35">
      <c r="C292" s="259"/>
      <c r="D292" s="204"/>
      <c r="E292" s="259"/>
      <c r="F292" s="204"/>
      <c r="G292" s="204"/>
      <c r="H292" s="29" t="s">
        <v>313</v>
      </c>
      <c r="I292" s="30" t="e">
        <f>I289-INDEX(CommunityResourcePack[unitCost],MATCH(H291,CommunityResourcePack[name],0))*I291</f>
        <v>#N/A</v>
      </c>
      <c r="J292" s="30" t="e">
        <f>J289-INDEX(CommunityResourcePack[unitCost],MATCH(H291,CommunityResourcePack[name],0))*J291</f>
        <v>#N/A</v>
      </c>
      <c r="K292" s="30" t="e">
        <f>I292/I294</f>
        <v>#N/A</v>
      </c>
    </row>
    <row r="293" spans="3:11" outlineLevel="1" x14ac:dyDescent="0.35">
      <c r="C293" s="259"/>
      <c r="D293" s="204"/>
      <c r="E293" s="259"/>
      <c r="F293" s="204"/>
      <c r="G293" s="204"/>
      <c r="H293" s="29" t="s">
        <v>314</v>
      </c>
      <c r="I293" s="31" t="e">
        <f>I290+INDEX(CommunityResourcePack[density],MATCH(H291,CommunityResourcePack[name],0))*I291</f>
        <v>#N/A</v>
      </c>
      <c r="J293" s="31" t="e">
        <f>J290+INDEX(CommunityResourcePack[density],MATCH(H291,CommunityResourcePack[name],0))*J291</f>
        <v>#N/A</v>
      </c>
      <c r="K293" s="31" t="e">
        <f>IF(K294="1.25m",I293/I294-SUM($K$8,$K$16)/I294,I293/I294)</f>
        <v>#N/A</v>
      </c>
    </row>
    <row r="294" spans="3:11" outlineLevel="1" x14ac:dyDescent="0.35">
      <c r="C294" s="259"/>
      <c r="D294" s="204"/>
      <c r="E294" s="259"/>
      <c r="F294" s="204"/>
      <c r="G294" s="204"/>
      <c r="H294" s="33" t="s">
        <v>303</v>
      </c>
      <c r="I294" s="2">
        <v>0.75</v>
      </c>
      <c r="J294" s="34" t="s">
        <v>304</v>
      </c>
      <c r="K294" s="2" t="s">
        <v>45</v>
      </c>
    </row>
    <row r="295" spans="3:11" outlineLevel="1" x14ac:dyDescent="0.35">
      <c r="C295" s="259"/>
      <c r="D295" s="204"/>
      <c r="E295" s="99"/>
      <c r="F295" s="204"/>
      <c r="G295" s="204"/>
      <c r="H295" s="204"/>
      <c r="I295" s="204"/>
      <c r="J295" s="204"/>
      <c r="K295" s="204"/>
    </row>
    <row r="296" spans="3:11" ht="23.5" outlineLevel="1" x14ac:dyDescent="0.55000000000000004">
      <c r="C296" s="259"/>
      <c r="D296" s="204"/>
      <c r="E296" s="259" t="s">
        <v>385</v>
      </c>
      <c r="F296" s="204"/>
      <c r="G296" s="88" t="s">
        <v>386</v>
      </c>
      <c r="H296" s="204"/>
      <c r="I296" s="204"/>
      <c r="J296" s="204"/>
      <c r="K296" s="204"/>
    </row>
    <row r="297" spans="3:11" outlineLevel="1" x14ac:dyDescent="0.35">
      <c r="C297" s="259"/>
      <c r="D297" s="204"/>
      <c r="E297" s="259"/>
      <c r="F297" s="204"/>
      <c r="G297" s="204" t="s">
        <v>387</v>
      </c>
      <c r="H297" s="204"/>
      <c r="I297" s="204"/>
      <c r="J297" s="204"/>
      <c r="K297" s="204"/>
    </row>
    <row r="298" spans="3:11" outlineLevel="1" x14ac:dyDescent="0.35">
      <c r="C298" s="259"/>
      <c r="D298" s="204"/>
      <c r="E298" s="259"/>
      <c r="F298" s="204"/>
      <c r="G298" t="s">
        <v>388</v>
      </c>
      <c r="H298" s="204"/>
      <c r="I298" s="204"/>
      <c r="J298" s="204"/>
      <c r="K298" s="204"/>
    </row>
    <row r="299" spans="3:11" outlineLevel="1" x14ac:dyDescent="0.35">
      <c r="C299" s="259"/>
      <c r="D299" s="204"/>
      <c r="E299" s="259"/>
      <c r="F299" s="204"/>
      <c r="G299" s="204"/>
      <c r="H299" t="s">
        <v>300</v>
      </c>
      <c r="I299" t="s">
        <v>85</v>
      </c>
      <c r="J299" t="s">
        <v>301</v>
      </c>
      <c r="K299" t="s">
        <v>302</v>
      </c>
    </row>
    <row r="300" spans="3:11" outlineLevel="1" x14ac:dyDescent="0.35">
      <c r="C300" s="259"/>
      <c r="D300" s="204"/>
      <c r="E300" s="259"/>
      <c r="F300" s="204"/>
      <c r="G300" s="204"/>
      <c r="H300" t="s">
        <v>88</v>
      </c>
      <c r="I300">
        <f>900+880</f>
        <v>1780</v>
      </c>
      <c r="J300"/>
      <c r="K300" s="37">
        <f>I300/I305</f>
        <v>1780</v>
      </c>
    </row>
    <row r="301" spans="3:11" outlineLevel="1" x14ac:dyDescent="0.35">
      <c r="C301" s="259"/>
      <c r="D301" s="204"/>
      <c r="E301" s="259"/>
      <c r="F301" s="204"/>
      <c r="G301" s="204"/>
      <c r="H301" t="s">
        <v>89</v>
      </c>
      <c r="I301" s="27">
        <f>0.005+0.005</f>
        <v>0.01</v>
      </c>
      <c r="J301" s="27"/>
      <c r="K301" s="38">
        <f>IF(K305="1.25m",I301/I305-SUM($K$8,$K$16)/I305,I301/I305)</f>
        <v>0.01</v>
      </c>
    </row>
    <row r="302" spans="3:11" outlineLevel="1" x14ac:dyDescent="0.35">
      <c r="C302" s="259"/>
      <c r="D302" s="204"/>
      <c r="E302" s="259"/>
      <c r="F302" s="204"/>
      <c r="G302" s="204"/>
      <c r="H302" t="s">
        <v>377</v>
      </c>
      <c r="I302">
        <v>0</v>
      </c>
      <c r="J302"/>
      <c r="K302" s="37">
        <f>I302/I305</f>
        <v>0</v>
      </c>
    </row>
    <row r="303" spans="3:11" outlineLevel="1" x14ac:dyDescent="0.35">
      <c r="C303" s="259"/>
      <c r="D303" s="204"/>
      <c r="E303" s="259"/>
      <c r="F303" s="204"/>
      <c r="G303" s="204"/>
      <c r="H303" s="29" t="s">
        <v>313</v>
      </c>
      <c r="I303" s="30" t="e">
        <f>I300-INDEX(CommunityResourcePack[unitCost],MATCH(H302,CommunityResourcePack[name],0))*I302</f>
        <v>#N/A</v>
      </c>
      <c r="J303" s="30" t="e">
        <f>J300-INDEX(CommunityResourcePack[unitCost],MATCH(H302,CommunityResourcePack[name],0))*J302</f>
        <v>#N/A</v>
      </c>
      <c r="K303" s="30" t="e">
        <f>I303/I305</f>
        <v>#N/A</v>
      </c>
    </row>
    <row r="304" spans="3:11" outlineLevel="1" x14ac:dyDescent="0.35">
      <c r="C304" s="259"/>
      <c r="D304" s="204"/>
      <c r="E304" s="259"/>
      <c r="F304" s="204"/>
      <c r="G304" s="204"/>
      <c r="H304" s="29" t="s">
        <v>314</v>
      </c>
      <c r="I304" s="31" t="e">
        <f>I301+INDEX(CommunityResourcePack[density],MATCH(H302,CommunityResourcePack[name],0))*I302</f>
        <v>#N/A</v>
      </c>
      <c r="J304" s="31" t="e">
        <f>J301+INDEX(CommunityResourcePack[density],MATCH(H302,CommunityResourcePack[name],0))*J302</f>
        <v>#N/A</v>
      </c>
      <c r="K304" s="31" t="e">
        <f>IF(K305="1.25m",I304/I305-SUM($K$8,$K$16)/I305,I304/I305)</f>
        <v>#N/A</v>
      </c>
    </row>
    <row r="305" spans="1:11" outlineLevel="1" x14ac:dyDescent="0.35">
      <c r="B305" s="204"/>
      <c r="C305" s="259"/>
      <c r="D305" s="204"/>
      <c r="E305" s="259"/>
      <c r="F305" s="204"/>
      <c r="G305" s="204"/>
      <c r="H305" s="33" t="s">
        <v>303</v>
      </c>
      <c r="I305" s="2">
        <v>1</v>
      </c>
      <c r="J305" s="34" t="s">
        <v>304</v>
      </c>
      <c r="K305" s="2" t="s">
        <v>45</v>
      </c>
    </row>
    <row r="306" spans="1:11" outlineLevel="1" x14ac:dyDescent="0.35">
      <c r="B306" s="204"/>
      <c r="C306" s="259"/>
      <c r="D306" s="204"/>
      <c r="E306" s="99"/>
      <c r="F306" s="204"/>
      <c r="G306" s="204"/>
      <c r="H306" s="204"/>
      <c r="I306" s="204"/>
      <c r="J306" s="204"/>
      <c r="K306" s="204"/>
    </row>
    <row r="307" spans="1:11" ht="23.5" outlineLevel="1" x14ac:dyDescent="0.55000000000000004">
      <c r="B307" s="204"/>
      <c r="C307" s="259"/>
      <c r="D307" s="204"/>
      <c r="E307" s="259" t="s">
        <v>389</v>
      </c>
      <c r="F307" s="204"/>
      <c r="G307" s="88" t="s">
        <v>390</v>
      </c>
      <c r="H307" s="204"/>
      <c r="I307" s="204"/>
      <c r="J307" s="204"/>
      <c r="K307" s="204"/>
    </row>
    <row r="308" spans="1:11" outlineLevel="1" x14ac:dyDescent="0.35">
      <c r="B308" s="204"/>
      <c r="C308" s="259"/>
      <c r="D308" s="204"/>
      <c r="E308" s="259"/>
      <c r="F308" s="204"/>
      <c r="G308" s="204" t="s">
        <v>391</v>
      </c>
      <c r="H308" s="204"/>
      <c r="I308" s="204"/>
      <c r="J308" s="204"/>
      <c r="K308" s="204"/>
    </row>
    <row r="309" spans="1:11" outlineLevel="1" x14ac:dyDescent="0.35">
      <c r="B309" s="204"/>
      <c r="C309" s="259"/>
      <c r="D309" s="204"/>
      <c r="E309" s="259"/>
      <c r="F309" s="204"/>
      <c r="G309" t="s">
        <v>392</v>
      </c>
      <c r="H309" s="204"/>
      <c r="I309" s="204"/>
      <c r="J309" s="204"/>
      <c r="K309" s="204"/>
    </row>
    <row r="310" spans="1:11" outlineLevel="1" x14ac:dyDescent="0.35">
      <c r="B310" s="204"/>
      <c r="C310" s="259"/>
      <c r="D310" s="204"/>
      <c r="E310" s="259"/>
      <c r="F310" s="204"/>
      <c r="G310" s="204"/>
      <c r="H310" t="s">
        <v>300</v>
      </c>
      <c r="I310" t="s">
        <v>85</v>
      </c>
      <c r="J310" t="s">
        <v>301</v>
      </c>
      <c r="K310" t="s">
        <v>302</v>
      </c>
    </row>
    <row r="311" spans="1:11" outlineLevel="1" x14ac:dyDescent="0.35">
      <c r="B311" s="204"/>
      <c r="C311" s="259"/>
      <c r="D311" s="204"/>
      <c r="E311" s="259"/>
      <c r="F311" s="204"/>
      <c r="G311" s="204"/>
      <c r="H311" t="s">
        <v>88</v>
      </c>
      <c r="I311">
        <f>6000+8800</f>
        <v>14800</v>
      </c>
      <c r="J311"/>
      <c r="K311" s="37">
        <f>I311/I316</f>
        <v>14800</v>
      </c>
    </row>
    <row r="312" spans="1:11" outlineLevel="1" x14ac:dyDescent="0.35">
      <c r="B312" s="204"/>
      <c r="C312" s="259"/>
      <c r="D312" s="204"/>
      <c r="E312" s="259"/>
      <c r="F312" s="204"/>
      <c r="G312" s="204"/>
      <c r="H312" t="s">
        <v>89</v>
      </c>
      <c r="I312" s="27">
        <f>0.005+0.005</f>
        <v>0.01</v>
      </c>
      <c r="J312" s="27"/>
      <c r="K312" s="38">
        <f>IF(K316="1.25m",I312/I316-SUM($K$8,$K$16)/I316,I312/I316)</f>
        <v>0.01</v>
      </c>
    </row>
    <row r="313" spans="1:11" outlineLevel="1" x14ac:dyDescent="0.35">
      <c r="B313" s="204"/>
      <c r="C313" s="259"/>
      <c r="D313" s="204"/>
      <c r="E313" s="259"/>
      <c r="F313" s="204"/>
      <c r="G313" s="204"/>
      <c r="H313" t="s">
        <v>377</v>
      </c>
      <c r="I313"/>
      <c r="J313"/>
      <c r="K313" s="37">
        <f>I313/I316</f>
        <v>0</v>
      </c>
    </row>
    <row r="314" spans="1:11" outlineLevel="1" x14ac:dyDescent="0.35">
      <c r="B314" s="204"/>
      <c r="C314" s="259"/>
      <c r="D314" s="204"/>
      <c r="E314" s="259"/>
      <c r="F314" s="204"/>
      <c r="G314" s="204"/>
      <c r="H314" s="29" t="s">
        <v>313</v>
      </c>
      <c r="I314" s="30" t="e">
        <f>I311-INDEX(CommunityResourcePack[unitCost],MATCH(H313,CommunityResourcePack[name],0))*I313</f>
        <v>#N/A</v>
      </c>
      <c r="J314" s="30" t="e">
        <f>J311-INDEX(CommunityResourcePack[unitCost],MATCH(H313,CommunityResourcePack[name],0))*J313</f>
        <v>#N/A</v>
      </c>
      <c r="K314" s="30" t="e">
        <f>I314/I316</f>
        <v>#N/A</v>
      </c>
    </row>
    <row r="315" spans="1:11" outlineLevel="1" x14ac:dyDescent="0.35">
      <c r="B315" s="204"/>
      <c r="C315" s="259"/>
      <c r="D315" s="204"/>
      <c r="E315" s="259"/>
      <c r="F315" s="204"/>
      <c r="G315" s="204"/>
      <c r="H315" s="29" t="s">
        <v>314</v>
      </c>
      <c r="I315" s="31" t="e">
        <f>I312+INDEX(CommunityResourcePack[density],MATCH(H313,CommunityResourcePack[name],0))*I313</f>
        <v>#N/A</v>
      </c>
      <c r="J315" s="31" t="e">
        <f>J312+INDEX(CommunityResourcePack[density],MATCH(H313,CommunityResourcePack[name],0))*J313</f>
        <v>#N/A</v>
      </c>
      <c r="K315" s="31" t="e">
        <f>IF(K316="1.25m",I315/I316-SUM($K$8,$K$16)/I316,I315/I316)</f>
        <v>#N/A</v>
      </c>
    </row>
    <row r="316" spans="1:11" outlineLevel="1" x14ac:dyDescent="0.35">
      <c r="B316" s="204"/>
      <c r="C316" s="259"/>
      <c r="D316" s="204"/>
      <c r="E316" s="259"/>
      <c r="F316" s="204"/>
      <c r="G316" s="204"/>
      <c r="H316" s="33" t="s">
        <v>303</v>
      </c>
      <c r="I316" s="2">
        <v>1</v>
      </c>
      <c r="J316" s="34" t="s">
        <v>304</v>
      </c>
      <c r="K316" s="2" t="s">
        <v>45</v>
      </c>
    </row>
    <row r="317" spans="1:11" x14ac:dyDescent="0.35">
      <c r="B317" s="204"/>
      <c r="C317" s="43" t="s">
        <v>372</v>
      </c>
      <c r="D317" s="204"/>
      <c r="E317" s="201"/>
      <c r="F317" s="204"/>
      <c r="G317" s="204"/>
      <c r="H317" s="204"/>
      <c r="I317" s="204"/>
      <c r="J317" s="204"/>
      <c r="K317" s="204"/>
    </row>
    <row r="319" spans="1:11" ht="92.5" x14ac:dyDescent="0.35">
      <c r="A319" s="107" t="s">
        <v>295</v>
      </c>
      <c r="B319" s="204"/>
      <c r="C319" s="204"/>
      <c r="D319" s="204"/>
      <c r="E319" s="201"/>
      <c r="F319" s="204"/>
      <c r="G319" s="204"/>
      <c r="H319" s="204"/>
      <c r="I319" s="204"/>
      <c r="J319" s="204"/>
      <c r="K319" s="204"/>
    </row>
    <row r="321" spans="1:1" ht="141.5" x14ac:dyDescent="0.35">
      <c r="A321" s="107" t="s">
        <v>393</v>
      </c>
    </row>
    <row r="323" spans="1:1" ht="78" x14ac:dyDescent="0.35">
      <c r="A323" s="107" t="s">
        <v>394</v>
      </c>
    </row>
  </sheetData>
  <mergeCells count="34">
    <mergeCell ref="A3:A260"/>
    <mergeCell ref="C263:C316"/>
    <mergeCell ref="E263:E272"/>
    <mergeCell ref="E274:E283"/>
    <mergeCell ref="E285:E294"/>
    <mergeCell ref="E296:E305"/>
    <mergeCell ref="E307:E316"/>
    <mergeCell ref="C197:C260"/>
    <mergeCell ref="E197:E208"/>
    <mergeCell ref="E210:E221"/>
    <mergeCell ref="E250:E260"/>
    <mergeCell ref="E236:E248"/>
    <mergeCell ref="E223:E234"/>
    <mergeCell ref="E130:E195"/>
    <mergeCell ref="C130:C195"/>
    <mergeCell ref="E119:E128"/>
    <mergeCell ref="C19:C128"/>
    <mergeCell ref="E108:E117"/>
    <mergeCell ref="E19:E29"/>
    <mergeCell ref="E53:E62"/>
    <mergeCell ref="E31:E40"/>
    <mergeCell ref="E42:E51"/>
    <mergeCell ref="E64:E73"/>
    <mergeCell ref="E75:E84"/>
    <mergeCell ref="E86:E95"/>
    <mergeCell ref="E97:E106"/>
    <mergeCell ref="AB1:AF1"/>
    <mergeCell ref="AI1:AM1"/>
    <mergeCell ref="E3:E9"/>
    <mergeCell ref="E11:E17"/>
    <mergeCell ref="C3:C17"/>
    <mergeCell ref="U1:Y1"/>
    <mergeCell ref="G1:K1"/>
    <mergeCell ref="N1:R1"/>
  </mergeCells>
  <pageMargins left="0.7" right="0.7" top="0.75" bottom="0.75" header="0.3" footer="0.3"/>
  <pageSetup orientation="portrait" r:id="rId1"/>
  <tableParts count="5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85331E6-CE60-4D66-ACC1-56319565331E}">
          <x14:formula1>
            <xm:f>Reference!$B$42:$B$44</xm:f>
          </x14:formula1>
          <xm:sqref>K17:K18 K9:K10 R195:S195 AM117 AM95 AM84 AF84 K106 K51:K52 K40:K41 K29:K30 K73 K62:K63 Y128:Z128 Y117:Z117 Y106:Z106 Y95:Z95 Y84:Z84 Y73:Z73 Y62:Z62 K151 R173:S173 K184 K140 Y195 AM184 K162 Y162 R184:S184 AF195 AF162 AF173 Y184 AM195 AM162 AM173 AF184 R73:S73 R128:S128 R117:S117 R106:S106 R95:S95 R84:S84 Y173 R162:S162 K173 K195 R261 K234:K235 R248:R249 K208 K221 R234 Y234 Y248 Y261 AM261 K316 K272 K283 K294 K305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556CC-102F-4AB7-9942-3A6723F0F07E}">
  <sheetPr codeName="Sheet11"/>
  <dimension ref="A1:C27"/>
  <sheetViews>
    <sheetView workbookViewId="0">
      <selection activeCell="G24" sqref="G24"/>
    </sheetView>
  </sheetViews>
  <sheetFormatPr defaultRowHeight="14.5" x14ac:dyDescent="0.35"/>
  <cols>
    <col min="1" max="1" width="45.7265625" bestFit="1" customWidth="1"/>
    <col min="2" max="2" width="9.453125" bestFit="1" customWidth="1"/>
    <col min="3" max="3" width="23.1796875" bestFit="1" customWidth="1"/>
  </cols>
  <sheetData>
    <row r="1" spans="1:3" x14ac:dyDescent="0.35">
      <c r="A1" t="s">
        <v>395</v>
      </c>
      <c r="B1" t="s">
        <v>396</v>
      </c>
      <c r="C1" t="s">
        <v>397</v>
      </c>
    </row>
    <row r="2" spans="1:3" x14ac:dyDescent="0.35">
      <c r="A2" t="s">
        <v>398</v>
      </c>
      <c r="B2" t="s">
        <v>399</v>
      </c>
      <c r="C2" t="s">
        <v>400</v>
      </c>
    </row>
    <row r="3" spans="1:3" x14ac:dyDescent="0.35">
      <c r="A3" t="s">
        <v>401</v>
      </c>
      <c r="B3" t="s">
        <v>399</v>
      </c>
      <c r="C3" t="s">
        <v>400</v>
      </c>
    </row>
    <row r="4" spans="1:3" x14ac:dyDescent="0.35">
      <c r="A4" t="s">
        <v>402</v>
      </c>
      <c r="B4" t="s">
        <v>399</v>
      </c>
      <c r="C4" t="s">
        <v>403</v>
      </c>
    </row>
    <row r="5" spans="1:3" x14ac:dyDescent="0.35">
      <c r="A5" t="s">
        <v>404</v>
      </c>
      <c r="B5" t="s">
        <v>399</v>
      </c>
      <c r="C5" t="s">
        <v>403</v>
      </c>
    </row>
    <row r="6" spans="1:3" x14ac:dyDescent="0.35">
      <c r="A6" t="s">
        <v>405</v>
      </c>
      <c r="B6" t="s">
        <v>399</v>
      </c>
      <c r="C6" t="s">
        <v>403</v>
      </c>
    </row>
    <row r="7" spans="1:3" x14ac:dyDescent="0.35">
      <c r="A7" t="s">
        <v>406</v>
      </c>
      <c r="B7" t="s">
        <v>399</v>
      </c>
      <c r="C7" t="s">
        <v>407</v>
      </c>
    </row>
    <row r="8" spans="1:3" x14ac:dyDescent="0.35">
      <c r="A8" t="s">
        <v>408</v>
      </c>
      <c r="B8" t="s">
        <v>399</v>
      </c>
      <c r="C8" t="s">
        <v>409</v>
      </c>
    </row>
    <row r="9" spans="1:3" x14ac:dyDescent="0.35">
      <c r="A9" t="s">
        <v>410</v>
      </c>
      <c r="B9" t="s">
        <v>399</v>
      </c>
      <c r="C9" t="s">
        <v>409</v>
      </c>
    </row>
    <row r="10" spans="1:3" x14ac:dyDescent="0.35">
      <c r="A10" t="s">
        <v>411</v>
      </c>
      <c r="B10" t="s">
        <v>399</v>
      </c>
      <c r="C10" t="s">
        <v>409</v>
      </c>
    </row>
    <row r="11" spans="1:3" x14ac:dyDescent="0.35">
      <c r="A11" t="s">
        <v>412</v>
      </c>
      <c r="B11" t="s">
        <v>399</v>
      </c>
      <c r="C11" t="s">
        <v>407</v>
      </c>
    </row>
    <row r="12" spans="1:3" x14ac:dyDescent="0.35">
      <c r="A12" t="s">
        <v>413</v>
      </c>
      <c r="B12" t="s">
        <v>399</v>
      </c>
      <c r="C12" t="s">
        <v>409</v>
      </c>
    </row>
    <row r="13" spans="1:3" x14ac:dyDescent="0.35">
      <c r="A13" t="s">
        <v>414</v>
      </c>
      <c r="B13" t="s">
        <v>399</v>
      </c>
      <c r="C13" t="s">
        <v>415</v>
      </c>
    </row>
    <row r="14" spans="1:3" x14ac:dyDescent="0.35">
      <c r="A14" t="s">
        <v>416</v>
      </c>
      <c r="B14" t="s">
        <v>399</v>
      </c>
      <c r="C14" t="s">
        <v>407</v>
      </c>
    </row>
    <row r="15" spans="1:3" x14ac:dyDescent="0.35">
      <c r="A15" t="s">
        <v>417</v>
      </c>
      <c r="B15" t="s">
        <v>399</v>
      </c>
      <c r="C15" t="s">
        <v>409</v>
      </c>
    </row>
    <row r="16" spans="1:3" x14ac:dyDescent="0.35">
      <c r="A16" t="s">
        <v>418</v>
      </c>
      <c r="B16" t="s">
        <v>399</v>
      </c>
      <c r="C16" t="s">
        <v>409</v>
      </c>
    </row>
    <row r="17" spans="1:3" x14ac:dyDescent="0.35">
      <c r="A17" t="s">
        <v>419</v>
      </c>
      <c r="B17" t="s">
        <v>420</v>
      </c>
      <c r="C17" t="s">
        <v>421</v>
      </c>
    </row>
    <row r="18" spans="1:3" x14ac:dyDescent="0.35">
      <c r="A18" t="s">
        <v>317</v>
      </c>
      <c r="B18" t="s">
        <v>422</v>
      </c>
      <c r="C18" t="s">
        <v>423</v>
      </c>
    </row>
    <row r="19" spans="1:3" x14ac:dyDescent="0.35">
      <c r="A19" t="s">
        <v>424</v>
      </c>
      <c r="B19" t="s">
        <v>420</v>
      </c>
      <c r="C19" t="s">
        <v>425</v>
      </c>
    </row>
    <row r="20" spans="1:3" x14ac:dyDescent="0.35">
      <c r="A20" t="s">
        <v>426</v>
      </c>
      <c r="B20" t="s">
        <v>427</v>
      </c>
      <c r="C20" t="s">
        <v>428</v>
      </c>
    </row>
    <row r="21" spans="1:3" x14ac:dyDescent="0.35">
      <c r="A21" t="s">
        <v>429</v>
      </c>
      <c r="B21" t="s">
        <v>427</v>
      </c>
      <c r="C21" s="89" t="s">
        <v>430</v>
      </c>
    </row>
    <row r="22" spans="1:3" x14ac:dyDescent="0.35">
      <c r="A22" t="s">
        <v>431</v>
      </c>
      <c r="B22" t="s">
        <v>420</v>
      </c>
      <c r="C22" t="s">
        <v>425</v>
      </c>
    </row>
    <row r="23" spans="1:3" x14ac:dyDescent="0.35">
      <c r="A23" t="s">
        <v>432</v>
      </c>
      <c r="B23" t="s">
        <v>420</v>
      </c>
      <c r="C23" t="s">
        <v>425</v>
      </c>
    </row>
    <row r="24" spans="1:3" x14ac:dyDescent="0.35">
      <c r="A24" t="s">
        <v>433</v>
      </c>
      <c r="B24" t="s">
        <v>422</v>
      </c>
      <c r="C24" t="s">
        <v>434</v>
      </c>
    </row>
    <row r="25" spans="1:3" x14ac:dyDescent="0.35">
      <c r="A25" t="s">
        <v>78</v>
      </c>
      <c r="B25" s="89" t="s">
        <v>422</v>
      </c>
      <c r="C25" t="s">
        <v>434</v>
      </c>
    </row>
    <row r="26" spans="1:3" x14ac:dyDescent="0.35">
      <c r="A26" t="s">
        <v>435</v>
      </c>
      <c r="B26" t="s">
        <v>422</v>
      </c>
      <c r="C26" t="s">
        <v>425</v>
      </c>
    </row>
    <row r="27" spans="1:3" x14ac:dyDescent="0.35">
      <c r="A27" t="s">
        <v>436</v>
      </c>
      <c r="B27" t="s">
        <v>422</v>
      </c>
      <c r="C27" t="s">
        <v>437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5C80D-7DDA-4EBB-A297-2E88CD2CB4E6}">
  <sheetPr codeName="Sheet12"/>
  <dimension ref="A1:S5"/>
  <sheetViews>
    <sheetView topLeftCell="D1" workbookViewId="0">
      <selection activeCell="I43" sqref="I43"/>
    </sheetView>
  </sheetViews>
  <sheetFormatPr defaultColWidth="9.1796875" defaultRowHeight="14.5" x14ac:dyDescent="0.35"/>
  <cols>
    <col min="1" max="1" width="18.26953125" style="12" bestFit="1" customWidth="1"/>
    <col min="2" max="2" width="14.54296875" style="12" bestFit="1" customWidth="1"/>
    <col min="3" max="3" width="41.26953125" style="12" bestFit="1" customWidth="1"/>
    <col min="4" max="4" width="20.1796875" style="12" bestFit="1" customWidth="1"/>
    <col min="5" max="5" width="20.1796875" style="108" bestFit="1" customWidth="1"/>
    <col min="6" max="6" width="16.81640625" style="108" bestFit="1" customWidth="1"/>
    <col min="7" max="7" width="17.54296875" style="109" bestFit="1" customWidth="1"/>
    <col min="8" max="8" width="10.26953125" style="109" bestFit="1" customWidth="1"/>
    <col min="9" max="9" width="13.453125" style="109" bestFit="1" customWidth="1"/>
    <col min="10" max="10" width="8.81640625" style="109" bestFit="1" customWidth="1"/>
    <col min="11" max="11" width="13.453125" style="109" bestFit="1" customWidth="1"/>
    <col min="12" max="12" width="7.81640625" style="12" bestFit="1" customWidth="1"/>
    <col min="13" max="13" width="12.1796875" style="12" bestFit="1" customWidth="1"/>
    <col min="14" max="14" width="12.81640625" style="110" bestFit="1" customWidth="1"/>
    <col min="15" max="15" width="10.26953125" style="12" bestFit="1" customWidth="1"/>
    <col min="16" max="16" width="14.453125" style="12" bestFit="1" customWidth="1"/>
    <col min="17" max="17" width="8.81640625" style="12" bestFit="1" customWidth="1"/>
    <col min="18" max="18" width="14.453125" style="12" bestFit="1" customWidth="1"/>
    <col min="19" max="16384" width="9.1796875" style="12"/>
  </cols>
  <sheetData>
    <row r="1" spans="1:19" x14ac:dyDescent="0.35">
      <c r="A1" s="204"/>
      <c r="B1" s="204"/>
      <c r="C1" s="204"/>
      <c r="D1" s="204"/>
      <c r="E1" s="263" t="s">
        <v>438</v>
      </c>
      <c r="F1" s="263"/>
      <c r="G1" s="263"/>
      <c r="H1" s="263"/>
      <c r="I1" s="263"/>
      <c r="J1" s="263"/>
      <c r="K1" s="263"/>
      <c r="L1" s="263"/>
      <c r="M1"/>
      <c r="N1"/>
      <c r="O1" s="204"/>
      <c r="P1" s="204"/>
      <c r="Q1" s="204"/>
      <c r="R1" s="204"/>
      <c r="S1" s="204"/>
    </row>
    <row r="2" spans="1:19" x14ac:dyDescent="0.35">
      <c r="A2" s="204" t="s">
        <v>439</v>
      </c>
      <c r="B2" s="204" t="s">
        <v>396</v>
      </c>
      <c r="C2" s="204" t="s">
        <v>87</v>
      </c>
      <c r="D2" s="204" t="s">
        <v>440</v>
      </c>
      <c r="E2" s="108" t="s">
        <v>441</v>
      </c>
      <c r="F2" s="108" t="s">
        <v>442</v>
      </c>
      <c r="G2" s="109" t="s">
        <v>443</v>
      </c>
      <c r="H2" s="109" t="s">
        <v>444</v>
      </c>
      <c r="I2" s="109" t="s">
        <v>445</v>
      </c>
      <c r="J2" s="109" t="s">
        <v>446</v>
      </c>
      <c r="K2" s="109" t="s">
        <v>447</v>
      </c>
      <c r="L2" s="204" t="s">
        <v>303</v>
      </c>
      <c r="M2" s="204" t="s">
        <v>448</v>
      </c>
      <c r="N2" s="110" t="s">
        <v>449</v>
      </c>
      <c r="O2" s="204" t="s">
        <v>450</v>
      </c>
      <c r="P2" s="204" t="s">
        <v>451</v>
      </c>
      <c r="Q2" s="204" t="s">
        <v>452</v>
      </c>
      <c r="R2" s="204" t="s">
        <v>453</v>
      </c>
      <c r="S2" s="204"/>
    </row>
    <row r="3" spans="1:19" x14ac:dyDescent="0.35">
      <c r="A3" s="204" t="s">
        <v>295</v>
      </c>
      <c r="B3" s="204" t="s">
        <v>454</v>
      </c>
      <c r="C3" s="204" t="s">
        <v>297</v>
      </c>
      <c r="D3" t="s">
        <v>298</v>
      </c>
      <c r="E3" s="111" t="s">
        <v>299</v>
      </c>
      <c r="F3" s="111">
        <v>16</v>
      </c>
      <c r="G3" s="112">
        <v>1E-3</v>
      </c>
      <c r="H3" s="112"/>
      <c r="I3" s="112"/>
      <c r="J3" s="112"/>
      <c r="K3" s="112"/>
      <c r="L3" s="2">
        <v>2</v>
      </c>
      <c r="M3">
        <f>F3*L3</f>
        <v>32</v>
      </c>
      <c r="N3" s="27">
        <f>G3*L3</f>
        <v>2E-3</v>
      </c>
      <c r="O3" s="27" t="str">
        <f>IF(ISBLANK(H3),"",H3)</f>
        <v/>
      </c>
      <c r="P3" s="27" t="str">
        <f t="shared" ref="P3:R5" si="0">IF(ISBLANK(I3),"",I3)</f>
        <v/>
      </c>
      <c r="Q3" s="27" t="str">
        <f t="shared" si="0"/>
        <v/>
      </c>
      <c r="R3" s="27" t="str">
        <f t="shared" si="0"/>
        <v/>
      </c>
      <c r="S3" s="110"/>
    </row>
    <row r="4" spans="1:19" x14ac:dyDescent="0.35">
      <c r="A4" s="204" t="s">
        <v>295</v>
      </c>
      <c r="B4" s="204" t="s">
        <v>455</v>
      </c>
      <c r="C4" s="204" t="s">
        <v>308</v>
      </c>
      <c r="D4" t="s">
        <v>306</v>
      </c>
      <c r="E4" s="111" t="s">
        <v>456</v>
      </c>
      <c r="F4" s="111">
        <v>149</v>
      </c>
      <c r="G4" s="112">
        <v>3.3000000000000002E-2</v>
      </c>
      <c r="H4" s="112"/>
      <c r="I4" s="112"/>
      <c r="J4" s="112"/>
      <c r="K4" s="112"/>
      <c r="L4" s="2">
        <v>1</v>
      </c>
      <c r="M4">
        <f>F4*L4</f>
        <v>149</v>
      </c>
      <c r="N4" s="27">
        <f>G4*L4</f>
        <v>3.3000000000000002E-2</v>
      </c>
      <c r="O4" s="27" t="str">
        <f t="shared" ref="O4:O5" si="1">IF(ISBLANK(H4),"",H4)</f>
        <v/>
      </c>
      <c r="P4" s="27" t="str">
        <f t="shared" si="0"/>
        <v/>
      </c>
      <c r="Q4" s="27" t="str">
        <f t="shared" si="0"/>
        <v/>
      </c>
      <c r="R4" s="27" t="str">
        <f t="shared" si="0"/>
        <v/>
      </c>
      <c r="S4" s="204"/>
    </row>
    <row r="5" spans="1:19" x14ac:dyDescent="0.35">
      <c r="A5" s="204" t="s">
        <v>295</v>
      </c>
      <c r="B5" s="204" t="s">
        <v>457</v>
      </c>
      <c r="C5" s="204" t="s">
        <v>310</v>
      </c>
      <c r="D5" t="s">
        <v>311</v>
      </c>
      <c r="E5" s="111" t="s">
        <v>312</v>
      </c>
      <c r="F5" s="111">
        <v>150</v>
      </c>
      <c r="G5" s="112">
        <v>6.3E-2</v>
      </c>
      <c r="H5" s="112" t="s">
        <v>285</v>
      </c>
      <c r="I5" s="112">
        <v>45</v>
      </c>
      <c r="J5" s="112" t="s">
        <v>49</v>
      </c>
      <c r="K5" s="112">
        <v>55</v>
      </c>
      <c r="L5" s="2">
        <v>0.25</v>
      </c>
      <c r="M5">
        <f>F5*L5</f>
        <v>37.5</v>
      </c>
      <c r="N5" s="27">
        <f>G5*L5</f>
        <v>1.575E-2</v>
      </c>
      <c r="O5" s="27" t="str">
        <f t="shared" si="1"/>
        <v>LiquidFuel</v>
      </c>
      <c r="P5" s="27">
        <f t="shared" si="0"/>
        <v>45</v>
      </c>
      <c r="Q5" s="27" t="str">
        <f t="shared" si="0"/>
        <v>Oxydizer</v>
      </c>
      <c r="R5" s="27">
        <f t="shared" si="0"/>
        <v>55</v>
      </c>
      <c r="S5" s="204"/>
    </row>
  </sheetData>
  <mergeCells count="1">
    <mergeCell ref="E1:L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789C1-BA44-46D1-9E57-D55AD93B5412}">
  <dimension ref="A1:T69"/>
  <sheetViews>
    <sheetView tabSelected="1" topLeftCell="A13" workbookViewId="0">
      <selection activeCell="B32" sqref="B32"/>
    </sheetView>
  </sheetViews>
  <sheetFormatPr defaultColWidth="9.1796875" defaultRowHeight="14.5" outlineLevelCol="1" x14ac:dyDescent="0.35"/>
  <cols>
    <col min="1" max="1" width="12.26953125" style="200" bestFit="1" customWidth="1"/>
    <col min="2" max="2" width="9.1796875" style="200"/>
    <col min="3" max="3" width="2" style="200" customWidth="1" outlineLevel="1"/>
    <col min="4" max="7" width="9.1796875" style="200" customWidth="1" outlineLevel="1"/>
    <col min="8" max="8" width="1.54296875" style="200" customWidth="1" outlineLevel="1"/>
    <col min="9" max="9" width="23.453125" style="200" customWidth="1" outlineLevel="1"/>
    <col min="10" max="16384" width="9.1796875" style="200"/>
  </cols>
  <sheetData>
    <row r="1" spans="1:20" s="206" customFormat="1" ht="26" x14ac:dyDescent="0.6">
      <c r="A1" s="265" t="s">
        <v>470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</row>
    <row r="2" spans="1:20" ht="21" x14ac:dyDescent="0.5">
      <c r="A2" s="207" t="s">
        <v>11</v>
      </c>
      <c r="B2" s="204"/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</row>
    <row r="3" spans="1:20" x14ac:dyDescent="0.35">
      <c r="A3" s="204" t="s">
        <v>471</v>
      </c>
      <c r="B3" s="208" t="s">
        <v>472</v>
      </c>
      <c r="C3" s="204"/>
      <c r="D3" s="204" t="s">
        <v>473</v>
      </c>
      <c r="E3" s="204" t="s">
        <v>474</v>
      </c>
      <c r="F3" s="204" t="s">
        <v>475</v>
      </c>
      <c r="G3" s="204" t="s">
        <v>476</v>
      </c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</row>
    <row r="4" spans="1:20" x14ac:dyDescent="0.35">
      <c r="A4" s="204" t="s">
        <v>11</v>
      </c>
      <c r="B4" s="2">
        <v>56400</v>
      </c>
      <c r="C4" s="204"/>
      <c r="D4" s="209">
        <f t="shared" ref="D4" si="0">B4</f>
        <v>56400</v>
      </c>
      <c r="E4" s="209">
        <f t="shared" ref="E4" si="1">B4*2</f>
        <v>112800</v>
      </c>
      <c r="F4" s="209">
        <f t="shared" ref="F4" si="2">B4*3</f>
        <v>169200</v>
      </c>
      <c r="G4" s="209">
        <f t="shared" ref="G4" si="3">B4*4</f>
        <v>225600</v>
      </c>
      <c r="H4" s="204"/>
      <c r="I4" s="204" t="str">
        <f>D4&amp;","&amp;E4&amp;","&amp;F4&amp;","&amp;G4</f>
        <v>56400,112800,169200,225600</v>
      </c>
      <c r="J4" s="204"/>
      <c r="K4" s="204"/>
      <c r="L4" s="204"/>
      <c r="M4" s="204"/>
      <c r="N4" s="204"/>
      <c r="O4" s="204"/>
      <c r="P4" s="204"/>
      <c r="Q4" s="204"/>
      <c r="R4" s="204"/>
      <c r="S4" s="204"/>
      <c r="T4" s="204"/>
    </row>
    <row r="5" spans="1:20" x14ac:dyDescent="0.35">
      <c r="A5" s="204" t="s">
        <v>88</v>
      </c>
      <c r="B5" s="2">
        <v>150</v>
      </c>
      <c r="C5" s="204"/>
      <c r="D5" s="209">
        <v>0</v>
      </c>
      <c r="E5" s="209">
        <f>B5</f>
        <v>150</v>
      </c>
      <c r="F5" s="209">
        <f>B5*2</f>
        <v>300</v>
      </c>
      <c r="G5" s="209">
        <f>B5*3</f>
        <v>450</v>
      </c>
      <c r="H5" s="204"/>
      <c r="I5" s="204" t="str">
        <f>D5&amp;";"&amp;E5&amp;";"&amp;F5&amp;";"&amp;G5</f>
        <v>0;150;300;450</v>
      </c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</row>
    <row r="6" spans="1:20" x14ac:dyDescent="0.35">
      <c r="A6" s="204" t="s">
        <v>89</v>
      </c>
      <c r="B6" s="205">
        <v>0.1</v>
      </c>
      <c r="C6" s="110"/>
      <c r="D6" s="210">
        <v>0</v>
      </c>
      <c r="E6" s="210">
        <f>B6</f>
        <v>0.1</v>
      </c>
      <c r="F6" s="210">
        <f>B6*2</f>
        <v>0.2</v>
      </c>
      <c r="G6" s="210">
        <f>B6*3</f>
        <v>0.30000000000000004</v>
      </c>
      <c r="H6" s="204"/>
      <c r="I6" s="204" t="str">
        <f>D6&amp;";"&amp;E6&amp;";"&amp;F6&amp;";"&amp;G6</f>
        <v>0;0.1;0.2;0.3</v>
      </c>
      <c r="J6" s="204"/>
      <c r="K6" s="204"/>
      <c r="L6" s="204"/>
      <c r="M6" s="204"/>
      <c r="N6" s="204"/>
      <c r="O6" s="204"/>
      <c r="P6" s="204"/>
      <c r="Q6" s="204"/>
      <c r="R6" s="204"/>
      <c r="S6" s="204"/>
      <c r="T6" s="204"/>
    </row>
    <row r="7" spans="1:20" s="124" customFormat="1" ht="15" thickBot="1" x14ac:dyDescent="0.4"/>
    <row r="8" spans="1:20" ht="21" x14ac:dyDescent="0.5">
      <c r="A8" s="207" t="s">
        <v>54</v>
      </c>
      <c r="B8" s="204"/>
      <c r="C8" s="204"/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  <c r="T8" s="204"/>
    </row>
    <row r="9" spans="1:20" x14ac:dyDescent="0.35">
      <c r="A9" s="264" t="str">
        <f>"resourceAmounts = "&amp;I4</f>
        <v>resourceAmounts = 56400,112800,169200,225600</v>
      </c>
      <c r="B9" s="264"/>
      <c r="C9" s="264"/>
      <c r="D9" s="264"/>
      <c r="E9" s="264"/>
      <c r="F9" s="264"/>
      <c r="G9" s="264"/>
      <c r="H9" s="264"/>
      <c r="I9" s="264"/>
      <c r="J9" s="264"/>
      <c r="K9" s="264"/>
      <c r="L9" s="264"/>
      <c r="M9" s="264"/>
      <c r="N9" s="264"/>
      <c r="O9" s="264"/>
      <c r="P9" s="264"/>
      <c r="Q9" s="264"/>
      <c r="R9" s="264"/>
      <c r="S9" s="264"/>
      <c r="T9" s="264"/>
    </row>
    <row r="10" spans="1:20" x14ac:dyDescent="0.35">
      <c r="A10" s="264" t="str">
        <f>IF(B3="Yes","initialResourceAmounts = 0,0,0,0","initialResourceAmounts = "&amp;I4)</f>
        <v>initialResourceAmounts = 0,0,0,0</v>
      </c>
      <c r="B10" s="264"/>
      <c r="C10" s="264"/>
      <c r="D10" s="264"/>
      <c r="E10" s="264"/>
      <c r="F10" s="264"/>
      <c r="G10" s="264"/>
      <c r="H10" s="264"/>
      <c r="I10" s="264"/>
      <c r="J10" s="264"/>
      <c r="K10" s="264"/>
      <c r="L10" s="264"/>
      <c r="M10" s="264"/>
      <c r="N10" s="264"/>
      <c r="O10" s="264"/>
      <c r="P10" s="264"/>
      <c r="Q10" s="264"/>
      <c r="R10" s="264"/>
      <c r="S10" s="264"/>
      <c r="T10" s="264"/>
    </row>
    <row r="11" spans="1:20" x14ac:dyDescent="0.35">
      <c r="A11" s="264" t="str">
        <f>"tankCost = "&amp;I5</f>
        <v>tankCost = 0;150;300;450</v>
      </c>
      <c r="B11" s="264"/>
      <c r="C11" s="264"/>
      <c r="D11" s="264"/>
      <c r="E11" s="264"/>
      <c r="F11" s="264"/>
      <c r="G11" s="264"/>
      <c r="H11" s="264"/>
      <c r="I11" s="264"/>
      <c r="J11" s="264"/>
      <c r="K11" s="264"/>
      <c r="L11" s="264"/>
      <c r="M11" s="264"/>
      <c r="N11" s="264"/>
      <c r="O11" s="264"/>
      <c r="P11" s="264"/>
      <c r="Q11" s="264"/>
      <c r="R11" s="264"/>
      <c r="S11" s="264"/>
      <c r="T11" s="264"/>
    </row>
    <row r="12" spans="1:20" x14ac:dyDescent="0.35">
      <c r="A12" s="264" t="str">
        <f>"tankMass = "&amp;I6</f>
        <v>tankMass = 0;0.1;0.2;0.3</v>
      </c>
      <c r="B12" s="264"/>
      <c r="C12" s="264"/>
      <c r="D12" s="264"/>
      <c r="E12" s="264"/>
      <c r="F12" s="264"/>
      <c r="G12" s="264"/>
      <c r="H12" s="264"/>
      <c r="I12" s="264"/>
      <c r="J12" s="264"/>
      <c r="K12" s="264"/>
      <c r="L12" s="264"/>
      <c r="M12" s="264"/>
      <c r="N12" s="264"/>
      <c r="O12" s="264"/>
      <c r="P12" s="264"/>
      <c r="Q12" s="264"/>
      <c r="R12" s="264"/>
      <c r="S12" s="264"/>
      <c r="T12" s="264"/>
    </row>
    <row r="13" spans="1:20" s="124" customFormat="1" ht="15" thickBot="1" x14ac:dyDescent="0.4"/>
    <row r="14" spans="1:20" s="206" customFormat="1" ht="26" x14ac:dyDescent="0.6">
      <c r="A14" s="266" t="s">
        <v>477</v>
      </c>
      <c r="B14" s="266"/>
      <c r="C14" s="266"/>
      <c r="D14" s="266"/>
      <c r="E14" s="266"/>
      <c r="F14" s="266"/>
      <c r="G14" s="266"/>
      <c r="H14" s="266"/>
      <c r="I14" s="266"/>
      <c r="J14" s="266"/>
      <c r="K14" s="266"/>
      <c r="L14" s="266"/>
      <c r="M14" s="266"/>
      <c r="N14" s="266"/>
      <c r="O14" s="266"/>
      <c r="P14" s="266"/>
      <c r="Q14" s="266"/>
      <c r="R14" s="266"/>
      <c r="S14" s="266"/>
      <c r="T14" s="266"/>
    </row>
    <row r="15" spans="1:20" ht="21" x14ac:dyDescent="0.5">
      <c r="A15" s="207" t="s">
        <v>11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  <c r="T15" s="204"/>
    </row>
    <row r="16" spans="1:20" x14ac:dyDescent="0.35">
      <c r="A16" s="204"/>
      <c r="B16" s="204"/>
      <c r="C16" s="204"/>
      <c r="D16" s="204" t="s">
        <v>473</v>
      </c>
      <c r="E16" s="204" t="s">
        <v>474</v>
      </c>
      <c r="F16" s="204" t="s">
        <v>475</v>
      </c>
      <c r="G16" s="204" t="s">
        <v>476</v>
      </c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204"/>
      <c r="S16" s="204"/>
      <c r="T16" s="204"/>
    </row>
    <row r="17" spans="1:20" x14ac:dyDescent="0.35">
      <c r="A17" s="204" t="s">
        <v>478</v>
      </c>
      <c r="B17" s="2">
        <v>10</v>
      </c>
      <c r="C17" s="204"/>
      <c r="D17" s="209">
        <f t="shared" ref="D17" si="4">B17</f>
        <v>10</v>
      </c>
      <c r="E17" s="209">
        <f t="shared" ref="E17" si="5">B17*2</f>
        <v>20</v>
      </c>
      <c r="F17" s="209">
        <f t="shared" ref="F17" si="6">B17*3</f>
        <v>30</v>
      </c>
      <c r="G17" s="209">
        <f t="shared" ref="G17" si="7">B17*4</f>
        <v>40</v>
      </c>
      <c r="H17" s="204"/>
      <c r="I17" s="204" t="str">
        <f>D17&amp;","&amp;D18&amp;";"&amp;E17&amp;","&amp;E18&amp;";"&amp;F17&amp;","&amp;F18&amp;";"&amp;G17&amp;","&amp;G18</f>
        <v>10,12;20,24;30,36;40,48</v>
      </c>
      <c r="J17" s="204"/>
      <c r="K17" s="204"/>
      <c r="L17" s="204"/>
      <c r="M17" s="204"/>
      <c r="N17" s="204"/>
      <c r="O17" s="204"/>
      <c r="P17" s="204"/>
      <c r="Q17" s="204"/>
      <c r="R17" s="204"/>
      <c r="S17" s="204"/>
      <c r="T17" s="204"/>
    </row>
    <row r="18" spans="1:20" x14ac:dyDescent="0.35">
      <c r="A18" s="241" t="s">
        <v>479</v>
      </c>
      <c r="B18" s="241"/>
      <c r="C18" s="204"/>
      <c r="D18" s="209">
        <f>ROUNDUP(D17*1.2,0)</f>
        <v>12</v>
      </c>
      <c r="E18" s="209">
        <f>D18*2</f>
        <v>24</v>
      </c>
      <c r="F18" s="209">
        <f>D18*3</f>
        <v>36</v>
      </c>
      <c r="G18" s="209">
        <f>D18*4</f>
        <v>48</v>
      </c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204"/>
      <c r="S18" s="204"/>
      <c r="T18" s="204"/>
    </row>
    <row r="19" spans="1:20" x14ac:dyDescent="0.35">
      <c r="A19" s="204" t="s">
        <v>88</v>
      </c>
      <c r="B19" s="2">
        <v>0</v>
      </c>
      <c r="C19" s="204"/>
      <c r="D19" s="210">
        <f>B19</f>
        <v>0</v>
      </c>
      <c r="E19" s="210">
        <f>$B19*2+35</f>
        <v>35</v>
      </c>
      <c r="F19" s="210">
        <f>$B19*3+70</f>
        <v>70</v>
      </c>
      <c r="G19" s="210">
        <f>$B19*4+105</f>
        <v>105</v>
      </c>
      <c r="H19" s="204"/>
      <c r="I19" s="204" t="str">
        <f>D19&amp;";"&amp;E19&amp;";"&amp;F19&amp;";"&amp;G19</f>
        <v>0;35;70;105</v>
      </c>
      <c r="J19" s="204"/>
      <c r="K19" s="204"/>
      <c r="L19" s="204"/>
      <c r="M19" s="204"/>
      <c r="N19" s="204"/>
      <c r="O19" s="204"/>
      <c r="P19" s="204"/>
      <c r="Q19" s="204"/>
      <c r="R19" s="204"/>
      <c r="S19" s="204"/>
      <c r="T19" s="204"/>
    </row>
    <row r="20" spans="1:20" x14ac:dyDescent="0.35">
      <c r="A20" s="204" t="s">
        <v>89</v>
      </c>
      <c r="B20" s="205">
        <v>0</v>
      </c>
      <c r="C20" s="110"/>
      <c r="D20" s="210">
        <f>B20</f>
        <v>0</v>
      </c>
      <c r="E20" s="210">
        <f>$B20*2+0.014</f>
        <v>1.4E-2</v>
      </c>
      <c r="F20" s="210">
        <f>$B20*3+0.028</f>
        <v>2.8000000000000001E-2</v>
      </c>
      <c r="G20" s="210">
        <f>$B20*4+0.042</f>
        <v>4.2000000000000003E-2</v>
      </c>
      <c r="H20" s="204"/>
      <c r="I20" s="204" t="str">
        <f>D20&amp;";"&amp;E20&amp;";"&amp;F20&amp;";"&amp;G20</f>
        <v>0;0.014;0.028;0.042</v>
      </c>
      <c r="J20" s="204"/>
      <c r="K20" s="204"/>
      <c r="L20" s="204"/>
      <c r="M20" s="204"/>
      <c r="N20" s="204"/>
      <c r="O20" s="204"/>
      <c r="P20" s="204"/>
      <c r="Q20" s="204"/>
      <c r="R20" s="204"/>
      <c r="S20" s="204"/>
      <c r="T20" s="204"/>
    </row>
    <row r="21" spans="1:20" s="124" customFormat="1" ht="15" thickBot="1" x14ac:dyDescent="0.4"/>
    <row r="22" spans="1:20" ht="21" x14ac:dyDescent="0.5">
      <c r="A22" s="207" t="s">
        <v>54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204"/>
      <c r="O22" s="204"/>
      <c r="P22" s="204"/>
      <c r="Q22" s="204"/>
      <c r="R22" s="204"/>
      <c r="S22" s="204"/>
      <c r="T22" s="204"/>
    </row>
    <row r="23" spans="1:20" x14ac:dyDescent="0.35">
      <c r="A23" s="264" t="str">
        <f>"resourceAmounts = "&amp;I17</f>
        <v>resourceAmounts = 10,12;20,24;30,36;40,48</v>
      </c>
      <c r="B23" s="264"/>
      <c r="C23" s="264"/>
      <c r="D23" s="264"/>
      <c r="E23" s="264"/>
      <c r="F23" s="264"/>
      <c r="G23" s="264"/>
      <c r="H23" s="264"/>
      <c r="I23" s="264"/>
      <c r="J23" s="264"/>
      <c r="K23" s="264"/>
      <c r="L23" s="264"/>
      <c r="M23" s="264"/>
      <c r="N23" s="264"/>
      <c r="O23" s="264"/>
      <c r="P23" s="264"/>
      <c r="Q23" s="264"/>
      <c r="R23" s="264"/>
      <c r="S23" s="264"/>
      <c r="T23" s="264"/>
    </row>
    <row r="24" spans="1:20" x14ac:dyDescent="0.35">
      <c r="A24" s="264" t="str">
        <f>"initialResourceAmounts = "&amp;I17</f>
        <v>initialResourceAmounts = 10,12;20,24;30,36;40,48</v>
      </c>
      <c r="B24" s="264"/>
      <c r="C24" s="264"/>
      <c r="D24" s="264"/>
      <c r="E24" s="264"/>
      <c r="F24" s="264"/>
      <c r="G24" s="264"/>
      <c r="H24" s="264"/>
      <c r="I24" s="264"/>
      <c r="J24" s="264"/>
      <c r="K24" s="264"/>
      <c r="L24" s="264"/>
      <c r="M24" s="264"/>
      <c r="N24" s="264"/>
      <c r="O24" s="264"/>
      <c r="P24" s="264"/>
      <c r="Q24" s="264"/>
      <c r="R24" s="264"/>
      <c r="S24" s="264"/>
      <c r="T24" s="264"/>
    </row>
    <row r="25" spans="1:20" x14ac:dyDescent="0.35">
      <c r="A25" s="264" t="str">
        <f>"tankCost = "&amp;I19</f>
        <v>tankCost = 0;35;70;105</v>
      </c>
      <c r="B25" s="264"/>
      <c r="C25" s="264"/>
      <c r="D25" s="264"/>
      <c r="E25" s="264"/>
      <c r="F25" s="264"/>
      <c r="G25" s="264"/>
      <c r="H25" s="264"/>
      <c r="I25" s="264"/>
      <c r="J25" s="264"/>
      <c r="K25" s="264"/>
      <c r="L25" s="264"/>
      <c r="M25" s="264"/>
      <c r="N25" s="264"/>
      <c r="O25" s="264"/>
      <c r="P25" s="264"/>
      <c r="Q25" s="264"/>
      <c r="R25" s="264"/>
      <c r="S25" s="264"/>
      <c r="T25" s="264"/>
    </row>
    <row r="26" spans="1:20" x14ac:dyDescent="0.35">
      <c r="A26" s="264" t="str">
        <f>"tankMass = "&amp;I20</f>
        <v>tankMass = 0;0.014;0.028;0.042</v>
      </c>
      <c r="B26" s="264"/>
      <c r="C26" s="264"/>
      <c r="D26" s="264"/>
      <c r="E26" s="264"/>
      <c r="F26" s="264"/>
      <c r="G26" s="264"/>
      <c r="H26" s="264"/>
      <c r="I26" s="264"/>
      <c r="J26" s="264"/>
      <c r="K26" s="264"/>
      <c r="L26" s="264"/>
      <c r="M26" s="264"/>
      <c r="N26" s="264"/>
      <c r="O26" s="264"/>
      <c r="P26" s="264"/>
      <c r="Q26" s="264"/>
      <c r="R26" s="264"/>
      <c r="S26" s="264"/>
      <c r="T26" s="264"/>
    </row>
    <row r="27" spans="1:20" s="124" customFormat="1" ht="15" thickBot="1" x14ac:dyDescent="0.4"/>
    <row r="28" spans="1:20" s="114" customFormat="1" ht="15" thickBot="1" x14ac:dyDescent="0.4"/>
    <row r="29" spans="1:20" s="114" customFormat="1" ht="26" x14ac:dyDescent="0.6">
      <c r="A29" s="266" t="s">
        <v>724</v>
      </c>
      <c r="B29" s="266"/>
      <c r="C29" s="266"/>
      <c r="D29" s="266"/>
      <c r="E29" s="266"/>
      <c r="F29" s="266"/>
      <c r="G29" s="266"/>
      <c r="H29" s="266"/>
      <c r="I29" s="266"/>
      <c r="J29" s="266"/>
      <c r="K29" s="266"/>
      <c r="L29" s="266"/>
      <c r="M29" s="266"/>
      <c r="N29" s="266"/>
      <c r="O29" s="266"/>
      <c r="P29" s="266"/>
      <c r="Q29" s="266"/>
      <c r="R29" s="266"/>
      <c r="S29" s="266"/>
      <c r="T29" s="266"/>
    </row>
    <row r="30" spans="1:20" s="114" customFormat="1" ht="21" x14ac:dyDescent="0.5">
      <c r="A30" s="207" t="s">
        <v>11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</row>
    <row r="31" spans="1:20" s="114" customFormat="1" x14ac:dyDescent="0.35">
      <c r="A31" s="204"/>
      <c r="B31" s="204"/>
      <c r="C31" s="204"/>
      <c r="D31" s="204" t="s">
        <v>473</v>
      </c>
      <c r="E31" s="204" t="s">
        <v>474</v>
      </c>
      <c r="F31" s="204" t="s">
        <v>475</v>
      </c>
      <c r="G31" s="204" t="s">
        <v>476</v>
      </c>
      <c r="H31" s="204"/>
      <c r="I31" s="204"/>
      <c r="J31" s="204"/>
      <c r="K31" s="204"/>
      <c r="L31" s="204"/>
      <c r="M31" s="204"/>
      <c r="N31" s="204"/>
      <c r="O31" s="204"/>
      <c r="P31" s="204"/>
      <c r="Q31" s="204"/>
      <c r="R31" s="204"/>
      <c r="S31" s="204"/>
      <c r="T31" s="204"/>
    </row>
    <row r="32" spans="1:20" s="114" customFormat="1" x14ac:dyDescent="0.35">
      <c r="A32" s="204" t="s">
        <v>725</v>
      </c>
      <c r="B32" s="2">
        <f>ROUND(B17*4.166667,0)</f>
        <v>42</v>
      </c>
      <c r="C32" s="204"/>
      <c r="D32" s="209">
        <f t="shared" ref="D32" si="8">B32</f>
        <v>42</v>
      </c>
      <c r="E32" s="209">
        <f t="shared" ref="E32" si="9">B32*2</f>
        <v>84</v>
      </c>
      <c r="F32" s="209">
        <f t="shared" ref="F32" si="10">B32*3</f>
        <v>126</v>
      </c>
      <c r="G32" s="209">
        <f t="shared" ref="G32" si="11">B32*4</f>
        <v>168</v>
      </c>
      <c r="H32" s="204"/>
      <c r="I32" s="204" t="str">
        <f>D32&amp;","&amp;D33&amp;";"&amp;E32&amp;","&amp;E33&amp;";"&amp;F32&amp;","&amp;F33&amp;";"&amp;G32&amp;","&amp;G33</f>
        <v>42,14;84,28;126,42;168,56</v>
      </c>
      <c r="J32" s="204"/>
      <c r="K32" s="204"/>
      <c r="L32" s="204"/>
      <c r="M32" s="204"/>
      <c r="N32" s="204"/>
      <c r="O32" s="204"/>
      <c r="P32" s="204"/>
      <c r="Q32" s="204"/>
      <c r="R32" s="204"/>
      <c r="S32" s="204"/>
      <c r="T32" s="204"/>
    </row>
    <row r="33" spans="1:20" s="114" customFormat="1" x14ac:dyDescent="0.35">
      <c r="A33" s="241" t="s">
        <v>479</v>
      </c>
      <c r="B33" s="241"/>
      <c r="C33" s="204"/>
      <c r="D33" s="209">
        <f>ROUNDUP(D32/3,0)</f>
        <v>14</v>
      </c>
      <c r="E33" s="209">
        <f>D33*2</f>
        <v>28</v>
      </c>
      <c r="F33" s="209">
        <f>D33*3</f>
        <v>42</v>
      </c>
      <c r="G33" s="209">
        <f>D33*4</f>
        <v>56</v>
      </c>
      <c r="H33" s="204"/>
      <c r="I33" s="204"/>
      <c r="J33" s="204"/>
      <c r="K33" s="204"/>
      <c r="L33" s="204"/>
      <c r="M33" s="204"/>
      <c r="N33" s="204"/>
      <c r="O33" s="204"/>
      <c r="P33" s="204"/>
      <c r="Q33" s="204"/>
      <c r="R33" s="204"/>
      <c r="S33" s="204"/>
      <c r="T33" s="204"/>
    </row>
    <row r="34" spans="1:20" s="114" customFormat="1" x14ac:dyDescent="0.35">
      <c r="A34" s="204" t="s">
        <v>88</v>
      </c>
      <c r="B34" s="2">
        <v>0</v>
      </c>
      <c r="C34" s="204"/>
      <c r="D34" s="210">
        <f>D19</f>
        <v>0</v>
      </c>
      <c r="E34" s="210">
        <f>E19</f>
        <v>35</v>
      </c>
      <c r="F34" s="210">
        <f>F19</f>
        <v>70</v>
      </c>
      <c r="G34" s="210">
        <f>G19</f>
        <v>105</v>
      </c>
      <c r="H34" s="204"/>
      <c r="I34" s="204" t="str">
        <f>D34&amp;";"&amp;E34&amp;";"&amp;F34&amp;";"&amp;G34</f>
        <v>0;35;70;105</v>
      </c>
      <c r="J34" s="204"/>
      <c r="K34" s="204"/>
      <c r="L34" s="204"/>
      <c r="M34" s="204"/>
      <c r="N34" s="204"/>
      <c r="O34" s="204"/>
      <c r="P34" s="204"/>
      <c r="Q34" s="204"/>
      <c r="R34" s="204"/>
      <c r="S34" s="204"/>
      <c r="T34" s="204"/>
    </row>
    <row r="35" spans="1:20" s="114" customFormat="1" x14ac:dyDescent="0.35">
      <c r="A35" s="204" t="s">
        <v>89</v>
      </c>
      <c r="B35" s="205">
        <v>0</v>
      </c>
      <c r="C35" s="110"/>
      <c r="D35" s="210">
        <f>B35</f>
        <v>0</v>
      </c>
      <c r="E35" s="210">
        <f>E20</f>
        <v>1.4E-2</v>
      </c>
      <c r="F35" s="210">
        <f>F20</f>
        <v>2.8000000000000001E-2</v>
      </c>
      <c r="G35" s="210">
        <f>G20</f>
        <v>4.2000000000000003E-2</v>
      </c>
      <c r="H35" s="204"/>
      <c r="I35" s="204" t="str">
        <f>D35&amp;";"&amp;E35&amp;";"&amp;F35&amp;";"&amp;G35</f>
        <v>0;0.014;0.028;0.042</v>
      </c>
      <c r="J35" s="204"/>
      <c r="K35" s="204"/>
      <c r="L35" s="204"/>
      <c r="M35" s="204"/>
      <c r="N35" s="204"/>
      <c r="O35" s="204"/>
      <c r="P35" s="204"/>
      <c r="Q35" s="204"/>
      <c r="R35" s="204"/>
      <c r="S35" s="204"/>
      <c r="T35" s="204"/>
    </row>
    <row r="36" spans="1:20" s="114" customFormat="1" ht="15" thickBot="1" x14ac:dyDescent="0.4">
      <c r="A36" s="124"/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</row>
    <row r="37" spans="1:20" s="114" customFormat="1" ht="21" x14ac:dyDescent="0.5">
      <c r="A37" s="207" t="s">
        <v>54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204"/>
      <c r="M37" s="204"/>
      <c r="N37" s="204"/>
      <c r="O37" s="204"/>
      <c r="P37" s="204"/>
      <c r="Q37" s="204"/>
      <c r="R37" s="204"/>
      <c r="S37" s="204"/>
      <c r="T37" s="204"/>
    </row>
    <row r="38" spans="1:20" s="114" customFormat="1" x14ac:dyDescent="0.35">
      <c r="A38" s="264" t="str">
        <f>"resourceAmounts = "&amp;I32</f>
        <v>resourceAmounts = 42,14;84,28;126,42;168,56</v>
      </c>
      <c r="B38" s="264"/>
      <c r="C38" s="264"/>
      <c r="D38" s="264"/>
      <c r="E38" s="264"/>
      <c r="F38" s="264"/>
      <c r="G38" s="264"/>
      <c r="H38" s="264"/>
      <c r="I38" s="264"/>
      <c r="J38" s="264"/>
      <c r="K38" s="264"/>
      <c r="L38" s="264"/>
      <c r="M38" s="264"/>
      <c r="N38" s="264"/>
      <c r="O38" s="264"/>
      <c r="P38" s="264"/>
      <c r="Q38" s="264"/>
      <c r="R38" s="264"/>
      <c r="S38" s="264"/>
      <c r="T38" s="264"/>
    </row>
    <row r="39" spans="1:20" s="114" customFormat="1" x14ac:dyDescent="0.35">
      <c r="A39" s="264" t="str">
        <f>"initialResourceAmounts = "&amp;I32</f>
        <v>initialResourceAmounts = 42,14;84,28;126,42;168,56</v>
      </c>
      <c r="B39" s="264"/>
      <c r="C39" s="264"/>
      <c r="D39" s="264"/>
      <c r="E39" s="264"/>
      <c r="F39" s="264"/>
      <c r="G39" s="264"/>
      <c r="H39" s="264"/>
      <c r="I39" s="264"/>
      <c r="J39" s="264"/>
      <c r="K39" s="264"/>
      <c r="L39" s="264"/>
      <c r="M39" s="264"/>
      <c r="N39" s="264"/>
      <c r="O39" s="264"/>
      <c r="P39" s="264"/>
      <c r="Q39" s="264"/>
      <c r="R39" s="264"/>
      <c r="S39" s="264"/>
      <c r="T39" s="264"/>
    </row>
    <row r="40" spans="1:20" s="114" customFormat="1" x14ac:dyDescent="0.35">
      <c r="A40" s="264" t="str">
        <f>"tankCost = "&amp;I34</f>
        <v>tankCost = 0;35;70;105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4"/>
      <c r="P40" s="264"/>
      <c r="Q40" s="264"/>
      <c r="R40" s="264"/>
      <c r="S40" s="264"/>
      <c r="T40" s="264"/>
    </row>
    <row r="41" spans="1:20" s="114" customFormat="1" x14ac:dyDescent="0.35">
      <c r="A41" s="264" t="str">
        <f>"tankMass = "&amp;I35</f>
        <v>tankMass = 0;0.014;0.028;0.042</v>
      </c>
      <c r="B41" s="264"/>
      <c r="C41" s="264"/>
      <c r="D41" s="264"/>
      <c r="E41" s="264"/>
      <c r="F41" s="264"/>
      <c r="G41" s="264"/>
      <c r="H41" s="264"/>
      <c r="I41" s="264"/>
      <c r="J41" s="264"/>
      <c r="K41" s="264"/>
      <c r="L41" s="264"/>
      <c r="M41" s="264"/>
      <c r="N41" s="264"/>
      <c r="O41" s="264"/>
      <c r="P41" s="264"/>
      <c r="Q41" s="264"/>
      <c r="R41" s="264"/>
      <c r="S41" s="264"/>
      <c r="T41" s="264"/>
    </row>
    <row r="42" spans="1:20" s="206" customFormat="1" ht="26.5" thickBot="1" x14ac:dyDescent="0.65">
      <c r="A42" s="124"/>
      <c r="B42" s="124"/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</row>
    <row r="43" spans="1:20" ht="21" x14ac:dyDescent="0.5">
      <c r="A43" s="207" t="s">
        <v>11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204"/>
      <c r="O43" s="204"/>
      <c r="P43" s="204"/>
      <c r="Q43" s="204"/>
      <c r="R43" s="204"/>
      <c r="S43" s="204"/>
      <c r="T43" s="204"/>
    </row>
    <row r="44" spans="1:20" x14ac:dyDescent="0.35">
      <c r="A44" s="204" t="s">
        <v>480</v>
      </c>
      <c r="B44" s="204"/>
      <c r="C44" s="204"/>
      <c r="D44" s="204" t="s">
        <v>473</v>
      </c>
      <c r="E44" s="204" t="s">
        <v>474</v>
      </c>
      <c r="F44" s="204" t="s">
        <v>475</v>
      </c>
      <c r="G44" s="204" t="s">
        <v>476</v>
      </c>
      <c r="H44" s="204"/>
      <c r="I44" s="204"/>
      <c r="J44" s="204"/>
      <c r="K44" s="204"/>
      <c r="L44" s="204"/>
      <c r="M44" s="204"/>
      <c r="N44" s="204"/>
      <c r="O44" s="204"/>
      <c r="P44" s="204"/>
      <c r="Q44" s="204"/>
      <c r="R44" s="204"/>
      <c r="S44" s="204"/>
      <c r="T44" s="204"/>
    </row>
    <row r="45" spans="1:20" x14ac:dyDescent="0.35">
      <c r="A45" s="204" t="s">
        <v>304</v>
      </c>
      <c r="B45" s="2">
        <v>0</v>
      </c>
      <c r="C45" s="204"/>
      <c r="D45" s="209">
        <f>B45</f>
        <v>0</v>
      </c>
      <c r="E45" s="209">
        <f>B45*2</f>
        <v>0</v>
      </c>
      <c r="F45" s="209">
        <f>B45*3</f>
        <v>0</v>
      </c>
      <c r="G45" s="209">
        <f>B45*4</f>
        <v>0</v>
      </c>
      <c r="H45" s="204"/>
      <c r="I45" s="204" t="str">
        <f>D45&amp;";"&amp;E45&amp;";"&amp;F45&amp;";"&amp;G45</f>
        <v>0;0;0;0</v>
      </c>
      <c r="J45" s="204"/>
      <c r="K45" s="204"/>
      <c r="L45" s="204"/>
      <c r="M45" s="204"/>
      <c r="N45" s="204"/>
      <c r="O45" s="204"/>
      <c r="P45" s="204"/>
      <c r="Q45" s="204"/>
      <c r="R45" s="204"/>
      <c r="S45" s="204"/>
      <c r="T45" s="204"/>
    </row>
    <row r="46" spans="1:20" x14ac:dyDescent="0.35">
      <c r="A46" s="204" t="s">
        <v>48</v>
      </c>
      <c r="B46" s="2">
        <v>50</v>
      </c>
      <c r="C46" s="204"/>
      <c r="D46" s="209">
        <f t="shared" ref="D46:D49" si="12">B46</f>
        <v>50</v>
      </c>
      <c r="E46" s="209">
        <f t="shared" ref="E46:E49" si="13">B46*2</f>
        <v>100</v>
      </c>
      <c r="F46" s="209">
        <f t="shared" ref="F46:F49" si="14">B46*3</f>
        <v>150</v>
      </c>
      <c r="G46" s="209">
        <f t="shared" ref="G46:G49" si="15">B46*4</f>
        <v>200</v>
      </c>
      <c r="H46" s="204"/>
      <c r="I46" s="204" t="str">
        <f>D46&amp;","&amp;D47&amp;";"&amp;E46&amp;","&amp;E47&amp;";"&amp;F46&amp;","&amp;F47&amp;";"&amp;G46&amp;","&amp;G47</f>
        <v>50,60;100,120;150,180;200,240</v>
      </c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</row>
    <row r="47" spans="1:20" x14ac:dyDescent="0.35">
      <c r="A47" s="241" t="s">
        <v>479</v>
      </c>
      <c r="B47" s="241"/>
      <c r="C47" s="204"/>
      <c r="D47" s="209">
        <f>ROUNDUP(D46*1.2,0)</f>
        <v>60</v>
      </c>
      <c r="E47" s="209">
        <f>D47*2</f>
        <v>120</v>
      </c>
      <c r="F47" s="209">
        <f>D47*3</f>
        <v>180</v>
      </c>
      <c r="G47" s="209">
        <f>D47*4</f>
        <v>240</v>
      </c>
      <c r="H47" s="204"/>
      <c r="I47" s="204"/>
    </row>
    <row r="48" spans="1:20" x14ac:dyDescent="0.35">
      <c r="A48" s="204" t="s">
        <v>481</v>
      </c>
      <c r="B48" s="2">
        <v>120</v>
      </c>
      <c r="C48" s="204"/>
      <c r="D48" s="209">
        <f t="shared" si="12"/>
        <v>120</v>
      </c>
      <c r="E48" s="209">
        <f t="shared" si="13"/>
        <v>240</v>
      </c>
      <c r="F48" s="209">
        <f t="shared" si="14"/>
        <v>360</v>
      </c>
      <c r="G48" s="209">
        <f t="shared" si="15"/>
        <v>480</v>
      </c>
      <c r="H48" s="204"/>
      <c r="I48" s="204" t="str">
        <f t="shared" ref="I48:I49" si="16">D48&amp;";"&amp;E48&amp;";"&amp;F48&amp;";"&amp;G48</f>
        <v>120;240;360;480</v>
      </c>
    </row>
    <row r="49" spans="1:20" x14ac:dyDescent="0.35">
      <c r="A49" s="204" t="s">
        <v>482</v>
      </c>
      <c r="B49" s="2">
        <v>5700</v>
      </c>
      <c r="C49" s="204"/>
      <c r="D49" s="209">
        <f t="shared" si="12"/>
        <v>5700</v>
      </c>
      <c r="E49" s="209">
        <f t="shared" si="13"/>
        <v>11400</v>
      </c>
      <c r="F49" s="209">
        <f t="shared" si="14"/>
        <v>17100</v>
      </c>
      <c r="G49" s="209">
        <f t="shared" si="15"/>
        <v>22800</v>
      </c>
      <c r="H49" s="204"/>
      <c r="I49" s="204" t="str">
        <f t="shared" si="16"/>
        <v>5700;11400;17100;22800</v>
      </c>
    </row>
    <row r="50" spans="1:20" s="124" customFormat="1" ht="15" thickBot="1" x14ac:dyDescent="0.4">
      <c r="D50" s="124" t="str">
        <f>I45&amp;"|"&amp;I46&amp;"|"&amp;I48&amp;"|"&amp;I49</f>
        <v>0;0;0;0|50,60;100,120;150,180;200,240|120;240;360;480|5700;11400;17100;22800</v>
      </c>
    </row>
    <row r="51" spans="1:20" ht="21" x14ac:dyDescent="0.5">
      <c r="A51" s="207" t="s">
        <v>88</v>
      </c>
      <c r="B51" s="204"/>
      <c r="C51" s="204"/>
      <c r="D51" s="204"/>
      <c r="E51" s="204"/>
      <c r="F51" s="204"/>
      <c r="G51" s="204"/>
      <c r="H51" s="204"/>
      <c r="I51" s="204"/>
    </row>
    <row r="52" spans="1:20" x14ac:dyDescent="0.35">
      <c r="A52" s="204" t="s">
        <v>480</v>
      </c>
      <c r="B52" s="204"/>
      <c r="C52" s="204"/>
      <c r="D52" s="204" t="s">
        <v>473</v>
      </c>
      <c r="E52" s="204" t="s">
        <v>474</v>
      </c>
      <c r="F52" s="204" t="s">
        <v>475</v>
      </c>
      <c r="G52" s="204" t="s">
        <v>476</v>
      </c>
      <c r="H52" s="204"/>
      <c r="I52" s="204"/>
    </row>
    <row r="53" spans="1:20" x14ac:dyDescent="0.35">
      <c r="A53" s="204" t="s">
        <v>304</v>
      </c>
      <c r="B53" s="2">
        <v>500</v>
      </c>
      <c r="C53" s="204"/>
      <c r="D53" s="209">
        <v>0</v>
      </c>
      <c r="E53" s="209">
        <f>B53</f>
        <v>500</v>
      </c>
      <c r="F53" s="209">
        <f>B53*2</f>
        <v>1000</v>
      </c>
      <c r="G53" s="209">
        <f>B53*3</f>
        <v>1500</v>
      </c>
      <c r="H53" s="204"/>
      <c r="I53" s="204" t="str">
        <f>D53&amp;";"&amp;E53&amp;";"&amp;F53&amp;";"&amp;G53</f>
        <v>0;500;1000;1500</v>
      </c>
    </row>
    <row r="54" spans="1:20" x14ac:dyDescent="0.35">
      <c r="A54" s="204" t="s">
        <v>483</v>
      </c>
      <c r="B54" s="2">
        <v>88</v>
      </c>
      <c r="C54" s="204"/>
      <c r="D54" s="209">
        <f>B54</f>
        <v>88</v>
      </c>
      <c r="E54" s="209">
        <f>B54*2+E$53</f>
        <v>676</v>
      </c>
      <c r="F54" s="209">
        <f>B54*3+F$53</f>
        <v>1264</v>
      </c>
      <c r="G54" s="209">
        <f>B54*4+G$53</f>
        <v>1852</v>
      </c>
      <c r="H54" s="204"/>
      <c r="I54" s="204" t="str">
        <f>D54&amp;";"&amp;E54&amp;";"&amp;F54&amp;";"&amp;G54</f>
        <v>88;676;1264;1852</v>
      </c>
    </row>
    <row r="55" spans="1:20" x14ac:dyDescent="0.35">
      <c r="A55" s="204" t="s">
        <v>481</v>
      </c>
      <c r="B55" s="2">
        <v>413</v>
      </c>
      <c r="C55" s="204"/>
      <c r="D55" s="209">
        <f t="shared" ref="D55:D56" si="17">B55</f>
        <v>413</v>
      </c>
      <c r="E55" s="209">
        <f t="shared" ref="E55:E56" si="18">B55*2+E$53</f>
        <v>1326</v>
      </c>
      <c r="F55" s="209">
        <f t="shared" ref="F55:F56" si="19">B55*3+F$53</f>
        <v>2239</v>
      </c>
      <c r="G55" s="209">
        <f t="shared" ref="G55:G56" si="20">B55*4+G$53</f>
        <v>3152</v>
      </c>
      <c r="H55" s="204"/>
      <c r="I55" s="204" t="str">
        <f t="shared" ref="I55:I56" si="21">D55&amp;";"&amp;E55&amp;";"&amp;F55&amp;";"&amp;G55</f>
        <v>413;1326;2239;3152</v>
      </c>
    </row>
    <row r="56" spans="1:20" x14ac:dyDescent="0.35">
      <c r="A56" s="204" t="s">
        <v>482</v>
      </c>
      <c r="B56" s="2">
        <v>4600</v>
      </c>
      <c r="C56" s="204"/>
      <c r="D56" s="209">
        <f t="shared" si="17"/>
        <v>4600</v>
      </c>
      <c r="E56" s="209">
        <f t="shared" si="18"/>
        <v>9700</v>
      </c>
      <c r="F56" s="209">
        <f t="shared" si="19"/>
        <v>14800</v>
      </c>
      <c r="G56" s="209">
        <f t="shared" si="20"/>
        <v>19900</v>
      </c>
      <c r="H56" s="204"/>
      <c r="I56" s="204" t="str">
        <f t="shared" si="21"/>
        <v>4600;9700;14800;19900</v>
      </c>
    </row>
    <row r="57" spans="1:20" s="124" customFormat="1" ht="15" thickBot="1" x14ac:dyDescent="0.4">
      <c r="D57" s="124" t="str">
        <f>I53&amp;"|"&amp;I54&amp;"|"&amp;I55&amp;"|"&amp;I56</f>
        <v>0;500;1000;1500|88;676;1264;1852|413;1326;2239;3152|4600;9700;14800;19900</v>
      </c>
    </row>
    <row r="58" spans="1:20" ht="21" x14ac:dyDescent="0.5">
      <c r="A58" s="207" t="s">
        <v>89</v>
      </c>
      <c r="B58" s="204"/>
      <c r="C58" s="204"/>
      <c r="D58" s="204"/>
      <c r="E58" s="204"/>
      <c r="F58" s="204"/>
      <c r="G58" s="204"/>
      <c r="H58" s="204"/>
      <c r="I58" s="204"/>
    </row>
    <row r="59" spans="1:20" x14ac:dyDescent="0.35">
      <c r="A59" s="204" t="s">
        <v>480</v>
      </c>
      <c r="B59" s="204"/>
      <c r="C59" s="204"/>
      <c r="D59" s="204" t="s">
        <v>473</v>
      </c>
      <c r="E59" s="204" t="s">
        <v>474</v>
      </c>
      <c r="F59" s="204" t="s">
        <v>475</v>
      </c>
      <c r="G59" s="204" t="s">
        <v>476</v>
      </c>
      <c r="H59" s="204"/>
      <c r="I59" s="204"/>
    </row>
    <row r="60" spans="1:20" x14ac:dyDescent="0.35">
      <c r="A60" s="204" t="s">
        <v>304</v>
      </c>
      <c r="B60" s="205">
        <v>0.1</v>
      </c>
      <c r="C60" s="110"/>
      <c r="D60" s="210">
        <v>0</v>
      </c>
      <c r="E60" s="210">
        <f>B60</f>
        <v>0.1</v>
      </c>
      <c r="F60" s="210">
        <f>B60*2</f>
        <v>0.2</v>
      </c>
      <c r="G60" s="210">
        <f>B60*3</f>
        <v>0.30000000000000004</v>
      </c>
      <c r="H60" s="204"/>
      <c r="I60" s="204" t="str">
        <f>D60&amp;";"&amp;E60&amp;";"&amp;F60&amp;";"&amp;G60</f>
        <v>0;0.1;0.2;0.3</v>
      </c>
    </row>
    <row r="61" spans="1:20" x14ac:dyDescent="0.35">
      <c r="A61" s="204" t="s">
        <v>483</v>
      </c>
      <c r="B61" s="205">
        <v>0.313</v>
      </c>
      <c r="C61" s="110"/>
      <c r="D61" s="210">
        <f>B61</f>
        <v>0.313</v>
      </c>
      <c r="E61" s="210">
        <f>B61*2+E$60</f>
        <v>0.72599999999999998</v>
      </c>
      <c r="F61" s="210">
        <f>B61*3+F$60</f>
        <v>1.139</v>
      </c>
      <c r="G61" s="210">
        <f>B61*4+G$60</f>
        <v>1.552</v>
      </c>
      <c r="H61" s="204"/>
      <c r="I61" s="204" t="str">
        <f>D61&amp;";"&amp;E61&amp;";"&amp;F61&amp;";"&amp;G61</f>
        <v>0.313;0.726;1.139;1.552</v>
      </c>
    </row>
    <row r="62" spans="1:20" x14ac:dyDescent="0.35">
      <c r="A62" s="204" t="s">
        <v>481</v>
      </c>
      <c r="B62" s="205">
        <v>0.1</v>
      </c>
      <c r="C62" s="110"/>
      <c r="D62" s="210">
        <f t="shared" ref="D62:D63" si="22">B62</f>
        <v>0.1</v>
      </c>
      <c r="E62" s="210">
        <f t="shared" ref="E62:E63" si="23">B62*2+E$60</f>
        <v>0.30000000000000004</v>
      </c>
      <c r="F62" s="210">
        <f t="shared" ref="F62:F63" si="24">B62*3+F$60</f>
        <v>0.5</v>
      </c>
      <c r="G62" s="210">
        <f t="shared" ref="G62:G63" si="25">B62*4+G$60</f>
        <v>0.70000000000000007</v>
      </c>
      <c r="H62" s="204"/>
      <c r="I62" s="204" t="str">
        <f t="shared" ref="I62:I63" si="26">D62&amp;";"&amp;E62&amp;";"&amp;F62&amp;";"&amp;G62</f>
        <v>0.1;0.3;0.5;0.7</v>
      </c>
    </row>
    <row r="63" spans="1:20" x14ac:dyDescent="0.35">
      <c r="A63" s="204" t="s">
        <v>482</v>
      </c>
      <c r="B63" s="205">
        <v>0.12</v>
      </c>
      <c r="C63" s="110"/>
      <c r="D63" s="210">
        <f t="shared" si="22"/>
        <v>0.12</v>
      </c>
      <c r="E63" s="210">
        <f t="shared" si="23"/>
        <v>0.33999999999999997</v>
      </c>
      <c r="F63" s="210">
        <f t="shared" si="24"/>
        <v>0.56000000000000005</v>
      </c>
      <c r="G63" s="210">
        <f t="shared" si="25"/>
        <v>0.78</v>
      </c>
      <c r="H63" s="204"/>
      <c r="I63" s="204" t="str">
        <f t="shared" si="26"/>
        <v>0.12;0.34;0.56;0.78</v>
      </c>
      <c r="J63" s="204"/>
      <c r="K63" s="204"/>
      <c r="L63" s="204"/>
      <c r="M63" s="204"/>
      <c r="N63" s="204"/>
      <c r="O63" s="204"/>
      <c r="P63" s="204"/>
      <c r="Q63" s="204"/>
      <c r="R63" s="204"/>
      <c r="S63" s="204"/>
      <c r="T63" s="204"/>
    </row>
    <row r="64" spans="1:20" s="124" customFormat="1" ht="15" thickBot="1" x14ac:dyDescent="0.4">
      <c r="D64" s="124" t="str">
        <f>I60&amp;"|"&amp;I61&amp;"|"&amp;I62&amp;"|"&amp;I63</f>
        <v>0;0.1;0.2;0.3|0.313;0.726;1.139;1.552|0.1;0.3;0.5;0.7|0.12;0.34;0.56;0.78</v>
      </c>
    </row>
    <row r="65" spans="1:20" ht="21" x14ac:dyDescent="0.5">
      <c r="A65" s="207" t="s">
        <v>54</v>
      </c>
      <c r="B65" s="204"/>
      <c r="C65" s="204"/>
      <c r="D65" s="204"/>
      <c r="E65" s="204"/>
      <c r="F65" s="204"/>
      <c r="G65" s="204"/>
      <c r="H65" s="204"/>
      <c r="I65" s="204"/>
      <c r="J65" s="204"/>
      <c r="K65" s="204"/>
      <c r="L65" s="204"/>
      <c r="M65" s="204"/>
      <c r="N65" s="204"/>
      <c r="O65" s="204"/>
      <c r="P65" s="204"/>
      <c r="Q65" s="204"/>
      <c r="R65" s="204"/>
      <c r="S65" s="204"/>
      <c r="T65" s="204"/>
    </row>
    <row r="66" spans="1:20" x14ac:dyDescent="0.35">
      <c r="A66" s="264" t="str">
        <f>"resourceAmounts = "&amp;D50</f>
        <v>resourceAmounts = 0;0;0;0|50,60;100,120;150,180;200,240|120;240;360;480|5700;11400;17100;22800</v>
      </c>
      <c r="B66" s="264"/>
      <c r="C66" s="264"/>
      <c r="D66" s="264"/>
      <c r="E66" s="264"/>
      <c r="F66" s="264"/>
      <c r="G66" s="264"/>
      <c r="H66" s="264"/>
      <c r="I66" s="264"/>
      <c r="J66" s="264"/>
      <c r="K66" s="264"/>
      <c r="L66" s="264"/>
      <c r="M66" s="264"/>
      <c r="N66" s="264"/>
      <c r="O66" s="264"/>
      <c r="P66" s="264"/>
      <c r="Q66" s="264"/>
      <c r="R66" s="264"/>
      <c r="S66" s="264"/>
      <c r="T66" s="264"/>
    </row>
    <row r="67" spans="1:20" x14ac:dyDescent="0.35">
      <c r="A67" s="264" t="str">
        <f>"initialResourceAmounts = "&amp;D50</f>
        <v>initialResourceAmounts = 0;0;0;0|50,60;100,120;150,180;200,240|120;240;360;480|5700;11400;17100;22800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4"/>
      <c r="P67" s="264"/>
      <c r="Q67" s="264"/>
      <c r="R67" s="264"/>
      <c r="S67" s="264"/>
      <c r="T67" s="264"/>
    </row>
    <row r="68" spans="1:20" x14ac:dyDescent="0.35">
      <c r="A68" s="264" t="str">
        <f>"tankCost = "&amp;D57</f>
        <v>tankCost = 0;500;1000;1500|88;676;1264;1852|413;1326;2239;3152|4600;9700;14800;19900</v>
      </c>
      <c r="B68" s="264"/>
      <c r="C68" s="264"/>
      <c r="D68" s="264"/>
      <c r="E68" s="264"/>
      <c r="F68" s="264"/>
      <c r="G68" s="264"/>
      <c r="H68" s="264"/>
      <c r="I68" s="264"/>
      <c r="J68" s="264"/>
      <c r="K68" s="264"/>
      <c r="L68" s="264"/>
      <c r="M68" s="264"/>
      <c r="N68" s="264"/>
      <c r="O68" s="264"/>
      <c r="P68" s="264"/>
      <c r="Q68" s="264"/>
      <c r="R68" s="264"/>
      <c r="S68" s="264"/>
      <c r="T68" s="264"/>
    </row>
    <row r="69" spans="1:20" x14ac:dyDescent="0.35">
      <c r="A69" s="264" t="str">
        <f>"tankMass = "&amp;D64</f>
        <v>tankMass = 0;0.1;0.2;0.3|0.313;0.726;1.139;1.552|0.1;0.3;0.5;0.7|0.12;0.34;0.56;0.78</v>
      </c>
      <c r="B69" s="264"/>
      <c r="C69" s="264"/>
      <c r="D69" s="264"/>
      <c r="E69" s="264"/>
      <c r="F69" s="264"/>
      <c r="G69" s="264"/>
      <c r="H69" s="264"/>
      <c r="I69" s="264"/>
      <c r="J69" s="264"/>
      <c r="K69" s="264"/>
      <c r="L69" s="264"/>
      <c r="M69" s="264"/>
      <c r="N69" s="264"/>
      <c r="O69" s="264"/>
      <c r="P69" s="264"/>
      <c r="Q69" s="264"/>
      <c r="R69" s="264"/>
      <c r="S69" s="264"/>
      <c r="T69" s="264"/>
    </row>
  </sheetData>
  <mergeCells count="22">
    <mergeCell ref="A40:T40"/>
    <mergeCell ref="A41:T41"/>
    <mergeCell ref="A1:T1"/>
    <mergeCell ref="A9:T9"/>
    <mergeCell ref="A10:T10"/>
    <mergeCell ref="A11:T11"/>
    <mergeCell ref="A12:T12"/>
    <mergeCell ref="A14:T14"/>
    <mergeCell ref="A18:B18"/>
    <mergeCell ref="A23:T23"/>
    <mergeCell ref="A24:T24"/>
    <mergeCell ref="A25:T25"/>
    <mergeCell ref="A26:T26"/>
    <mergeCell ref="A29:T29"/>
    <mergeCell ref="A33:B33"/>
    <mergeCell ref="A38:T38"/>
    <mergeCell ref="A39:T39"/>
    <mergeCell ref="A47:B47"/>
    <mergeCell ref="A66:T66"/>
    <mergeCell ref="A67:T67"/>
    <mergeCell ref="A68:T68"/>
    <mergeCell ref="A69:T69"/>
  </mergeCells>
  <dataValidations count="1">
    <dataValidation type="list" allowBlank="1" showInputMessage="1" showErrorMessage="1" sqref="B3" xr:uid="{F9359788-7904-4608-9FA7-04C171431852}">
      <formula1>"Yes, No"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372DD-BA87-4A70-B51C-0C98508238CC}">
  <sheetPr codeName="Sheet8">
    <tabColor theme="6" tint="0.39997558519241921"/>
  </sheetPr>
  <dimension ref="A1:L16"/>
  <sheetViews>
    <sheetView workbookViewId="0">
      <selection activeCell="F45" sqref="F45"/>
    </sheetView>
  </sheetViews>
  <sheetFormatPr defaultRowHeight="14.5" x14ac:dyDescent="0.35"/>
  <cols>
    <col min="1" max="1" width="22" bestFit="1" customWidth="1"/>
    <col min="2" max="2" width="6" bestFit="1" customWidth="1"/>
    <col min="4" max="4" width="9" bestFit="1" customWidth="1"/>
    <col min="5" max="5" width="8.26953125" bestFit="1" customWidth="1"/>
    <col min="6" max="6" width="11.26953125" bestFit="1" customWidth="1"/>
    <col min="8" max="8" width="21.54296875" bestFit="1" customWidth="1"/>
    <col min="9" max="9" width="10.7265625" customWidth="1"/>
    <col min="11" max="11" width="20.453125" customWidth="1"/>
    <col min="19" max="19" width="18.26953125" bestFit="1" customWidth="1"/>
  </cols>
  <sheetData>
    <row r="1" spans="1:12" x14ac:dyDescent="0.35">
      <c r="A1" s="72"/>
      <c r="B1" s="72"/>
      <c r="H1" s="78" t="s">
        <v>484</v>
      </c>
      <c r="I1" s="76"/>
      <c r="K1" s="77" t="s">
        <v>485</v>
      </c>
      <c r="L1" s="77"/>
    </row>
    <row r="2" spans="1:12" x14ac:dyDescent="0.35">
      <c r="A2" s="67" t="s">
        <v>486</v>
      </c>
      <c r="B2" s="67"/>
      <c r="D2" t="s">
        <v>487</v>
      </c>
      <c r="E2" t="s">
        <v>488</v>
      </c>
      <c r="F2" t="s">
        <v>489</v>
      </c>
      <c r="H2" t="s">
        <v>490</v>
      </c>
      <c r="I2" t="s">
        <v>491</v>
      </c>
      <c r="K2" t="s">
        <v>490</v>
      </c>
      <c r="L2" t="s">
        <v>491</v>
      </c>
    </row>
    <row r="3" spans="1:12" x14ac:dyDescent="0.35">
      <c r="A3" s="50" t="s">
        <v>492</v>
      </c>
      <c r="B3" s="69">
        <v>8.2000000000000003E-2</v>
      </c>
      <c r="D3">
        <f t="shared" ref="D3:D15" si="0">E3-273.15</f>
        <v>-273.14999999999998</v>
      </c>
      <c r="E3">
        <v>0</v>
      </c>
      <c r="F3">
        <v>0</v>
      </c>
      <c r="H3">
        <v>0</v>
      </c>
      <c r="I3">
        <v>10000</v>
      </c>
      <c r="K3">
        <v>750</v>
      </c>
      <c r="L3">
        <v>50000</v>
      </c>
    </row>
    <row r="4" spans="1:12" x14ac:dyDescent="0.35">
      <c r="A4" s="50" t="s">
        <v>493</v>
      </c>
      <c r="B4" s="69">
        <v>0.5</v>
      </c>
      <c r="D4">
        <f t="shared" si="0"/>
        <v>-173.14999999999998</v>
      </c>
      <c r="E4">
        <v>100</v>
      </c>
      <c r="F4">
        <v>0</v>
      </c>
      <c r="H4">
        <v>250</v>
      </c>
      <c r="I4">
        <v>5000</v>
      </c>
      <c r="K4">
        <v>1000</v>
      </c>
      <c r="L4">
        <v>10000</v>
      </c>
    </row>
    <row r="5" spans="1:12" x14ac:dyDescent="0.35">
      <c r="A5" s="47" t="s">
        <v>494</v>
      </c>
      <c r="B5" s="68">
        <v>1</v>
      </c>
      <c r="D5">
        <f t="shared" si="0"/>
        <v>-73.149999999999977</v>
      </c>
      <c r="E5">
        <v>200</v>
      </c>
      <c r="F5">
        <v>0</v>
      </c>
      <c r="H5">
        <v>500</v>
      </c>
      <c r="I5">
        <v>2500</v>
      </c>
      <c r="K5">
        <v>1250</v>
      </c>
      <c r="L5">
        <v>500</v>
      </c>
    </row>
    <row r="6" spans="1:12" x14ac:dyDescent="0.35">
      <c r="A6" s="50" t="s">
        <v>495</v>
      </c>
      <c r="B6" s="69">
        <v>0</v>
      </c>
      <c r="D6">
        <f t="shared" si="0"/>
        <v>0</v>
      </c>
      <c r="E6">
        <v>273.14999999999998</v>
      </c>
      <c r="F6">
        <v>0</v>
      </c>
      <c r="H6">
        <v>750</v>
      </c>
      <c r="I6">
        <v>250</v>
      </c>
      <c r="K6">
        <v>2000</v>
      </c>
      <c r="L6">
        <v>50</v>
      </c>
    </row>
    <row r="7" spans="1:12" x14ac:dyDescent="0.35">
      <c r="A7" s="62" t="s">
        <v>489</v>
      </c>
      <c r="B7" s="70">
        <f>B5*(B4+(B3*B6))</f>
        <v>0.5</v>
      </c>
      <c r="D7">
        <f t="shared" si="0"/>
        <v>25</v>
      </c>
      <c r="E7">
        <v>298.14999999999998</v>
      </c>
      <c r="F7">
        <v>1</v>
      </c>
      <c r="H7">
        <v>1000</v>
      </c>
      <c r="I7">
        <v>0</v>
      </c>
      <c r="K7">
        <v>4000</v>
      </c>
      <c r="L7">
        <v>0</v>
      </c>
    </row>
    <row r="8" spans="1:12" x14ac:dyDescent="0.35">
      <c r="A8" s="71"/>
      <c r="B8" s="71"/>
      <c r="D8">
        <f t="shared" si="0"/>
        <v>100</v>
      </c>
      <c r="E8">
        <v>373.15</v>
      </c>
      <c r="F8">
        <v>0.5</v>
      </c>
    </row>
    <row r="9" spans="1:12" x14ac:dyDescent="0.35">
      <c r="A9" s="67" t="s">
        <v>496</v>
      </c>
      <c r="B9" s="66"/>
      <c r="D9">
        <f t="shared" si="0"/>
        <v>126.85000000000002</v>
      </c>
      <c r="E9">
        <v>400</v>
      </c>
      <c r="H9" t="s">
        <v>497</v>
      </c>
      <c r="I9" t="s">
        <v>491</v>
      </c>
      <c r="K9" t="s">
        <v>497</v>
      </c>
      <c r="L9" t="s">
        <v>491</v>
      </c>
    </row>
    <row r="10" spans="1:12" x14ac:dyDescent="0.35">
      <c r="A10" s="47" t="s">
        <v>498</v>
      </c>
      <c r="B10" s="49">
        <v>0</v>
      </c>
      <c r="D10">
        <f t="shared" si="0"/>
        <v>226.85000000000002</v>
      </c>
      <c r="E10">
        <v>500</v>
      </c>
      <c r="F10">
        <v>0.1</v>
      </c>
      <c r="H10">
        <v>0</v>
      </c>
      <c r="I10">
        <v>0</v>
      </c>
      <c r="K10">
        <v>0</v>
      </c>
      <c r="L10">
        <v>0</v>
      </c>
    </row>
    <row r="11" spans="1:12" x14ac:dyDescent="0.35">
      <c r="A11" s="50" t="s">
        <v>499</v>
      </c>
      <c r="B11" s="51">
        <v>1</v>
      </c>
      <c r="D11">
        <f t="shared" si="0"/>
        <v>326.85000000000002</v>
      </c>
      <c r="E11">
        <v>600</v>
      </c>
      <c r="F11">
        <v>0</v>
      </c>
      <c r="H11">
        <v>250</v>
      </c>
      <c r="I11">
        <v>0.1</v>
      </c>
      <c r="K11">
        <v>500</v>
      </c>
      <c r="L11">
        <v>0.1</v>
      </c>
    </row>
    <row r="12" spans="1:12" x14ac:dyDescent="0.35">
      <c r="A12" s="50" t="s">
        <v>500</v>
      </c>
      <c r="B12" s="51">
        <v>2</v>
      </c>
      <c r="D12">
        <f t="shared" si="0"/>
        <v>426.85</v>
      </c>
      <c r="E12">
        <v>700</v>
      </c>
      <c r="F12">
        <v>0</v>
      </c>
      <c r="H12">
        <v>500</v>
      </c>
      <c r="I12">
        <v>1</v>
      </c>
      <c r="K12">
        <v>1000</v>
      </c>
      <c r="L12">
        <v>1</v>
      </c>
    </row>
    <row r="13" spans="1:12" x14ac:dyDescent="0.35">
      <c r="A13" s="50" t="s">
        <v>501</v>
      </c>
      <c r="B13" s="51">
        <v>3</v>
      </c>
      <c r="D13">
        <f t="shared" si="0"/>
        <v>526.85</v>
      </c>
      <c r="E13">
        <v>800</v>
      </c>
      <c r="F13">
        <v>0</v>
      </c>
      <c r="H13">
        <v>750</v>
      </c>
      <c r="I13">
        <v>0.1</v>
      </c>
      <c r="K13">
        <v>1250</v>
      </c>
      <c r="L13">
        <v>0.1</v>
      </c>
    </row>
    <row r="14" spans="1:12" x14ac:dyDescent="0.35">
      <c r="A14" s="50" t="s">
        <v>502</v>
      </c>
      <c r="B14" s="51">
        <v>4</v>
      </c>
      <c r="D14">
        <f t="shared" si="0"/>
        <v>626.85</v>
      </c>
      <c r="E14">
        <v>900</v>
      </c>
      <c r="F14">
        <v>0</v>
      </c>
      <c r="H14">
        <v>1000</v>
      </c>
      <c r="I14">
        <v>0</v>
      </c>
      <c r="K14">
        <v>3000</v>
      </c>
      <c r="L14">
        <v>0</v>
      </c>
    </row>
    <row r="15" spans="1:12" x14ac:dyDescent="0.35">
      <c r="A15" s="50" t="s">
        <v>503</v>
      </c>
      <c r="B15" s="51">
        <v>5</v>
      </c>
      <c r="D15">
        <f t="shared" si="0"/>
        <v>726.85</v>
      </c>
      <c r="E15">
        <v>1000</v>
      </c>
      <c r="F15">
        <v>0</v>
      </c>
    </row>
    <row r="16" spans="1:12" x14ac:dyDescent="0.35">
      <c r="A16" s="62" t="s">
        <v>504</v>
      </c>
      <c r="B16" s="64">
        <v>6</v>
      </c>
    </row>
  </sheetData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0CB1B-F255-41BA-8ACF-0AC73B3AD337}">
  <sheetPr codeName="Sheet9">
    <tabColor theme="6"/>
  </sheetPr>
  <dimension ref="B2:Q33"/>
  <sheetViews>
    <sheetView workbookViewId="0">
      <selection activeCell="C37" sqref="C37"/>
    </sheetView>
  </sheetViews>
  <sheetFormatPr defaultColWidth="9.1796875" defaultRowHeight="14.5" x14ac:dyDescent="0.35"/>
  <cols>
    <col min="1" max="1" width="2.7265625" style="12" customWidth="1"/>
    <col min="2" max="2" width="2.26953125" style="12" customWidth="1"/>
    <col min="3" max="3" width="16.81640625" style="12" bestFit="1" customWidth="1"/>
    <col min="4" max="5" width="9.1796875" style="12"/>
    <col min="6" max="6" width="3.1796875" style="12" customWidth="1"/>
    <col min="7" max="7" width="2.7265625" style="12" customWidth="1"/>
    <col min="8" max="8" width="2.1796875" style="12" customWidth="1"/>
    <col min="9" max="9" width="10.54296875" style="12" customWidth="1"/>
    <col min="10" max="10" width="10" style="12" customWidth="1"/>
    <col min="11" max="11" width="10.453125" style="12" customWidth="1"/>
    <col min="12" max="12" width="2.7265625" style="12" customWidth="1"/>
    <col min="13" max="16384" width="9.1796875" style="12"/>
  </cols>
  <sheetData>
    <row r="2" spans="2:17" s="43" customFormat="1" x14ac:dyDescent="0.35">
      <c r="B2" s="267" t="s">
        <v>505</v>
      </c>
      <c r="C2" s="268"/>
      <c r="D2" s="268"/>
      <c r="E2" s="268"/>
      <c r="F2" s="269"/>
      <c r="H2" s="270" t="s">
        <v>506</v>
      </c>
      <c r="I2" s="271"/>
      <c r="J2" s="271"/>
      <c r="K2" s="271"/>
      <c r="L2" s="272"/>
    </row>
    <row r="3" spans="2:17" x14ac:dyDescent="0.35">
      <c r="B3" s="45"/>
      <c r="C3" s="204"/>
      <c r="D3" s="204"/>
      <c r="E3" s="204"/>
      <c r="F3" s="46"/>
      <c r="G3" s="204"/>
      <c r="H3" s="45"/>
      <c r="I3" s="204"/>
      <c r="J3" s="204"/>
      <c r="K3" s="204"/>
      <c r="L3" s="46"/>
      <c r="M3" s="204"/>
      <c r="N3" s="204"/>
      <c r="O3" s="204"/>
      <c r="P3" s="204"/>
      <c r="Q3" s="204"/>
    </row>
    <row r="4" spans="2:17" x14ac:dyDescent="0.35">
      <c r="B4" s="45"/>
      <c r="C4" s="47" t="s">
        <v>507</v>
      </c>
      <c r="D4" s="48">
        <v>0.14000000000000001</v>
      </c>
      <c r="E4" s="49" t="s">
        <v>508</v>
      </c>
      <c r="F4" s="46"/>
      <c r="G4" s="204"/>
      <c r="H4" s="45"/>
      <c r="I4" s="47" t="s">
        <v>507</v>
      </c>
      <c r="J4" s="48">
        <v>0.193</v>
      </c>
      <c r="K4" s="49" t="s">
        <v>508</v>
      </c>
      <c r="L4" s="46"/>
      <c r="M4" s="204"/>
      <c r="N4" s="204"/>
      <c r="O4" s="204"/>
      <c r="P4" s="204"/>
      <c r="Q4" s="204"/>
    </row>
    <row r="5" spans="2:17" ht="16.5" x14ac:dyDescent="0.35">
      <c r="B5" s="45"/>
      <c r="C5" s="50" t="s">
        <v>509</v>
      </c>
      <c r="D5" s="48">
        <v>0.75</v>
      </c>
      <c r="E5" s="51" t="s">
        <v>508</v>
      </c>
      <c r="F5" s="46"/>
      <c r="G5" s="204"/>
      <c r="H5" s="45"/>
      <c r="I5" s="52" t="s">
        <v>113</v>
      </c>
      <c r="J5" s="53">
        <f>((4/3)*PI())*J4^3</f>
        <v>3.0113451543251041E-2</v>
      </c>
      <c r="K5" s="54" t="s">
        <v>510</v>
      </c>
      <c r="L5" s="46"/>
      <c r="M5" s="204"/>
      <c r="N5" s="204"/>
      <c r="O5" s="204"/>
      <c r="P5" s="204"/>
      <c r="Q5" s="204"/>
    </row>
    <row r="6" spans="2:17" ht="16.5" x14ac:dyDescent="0.35">
      <c r="B6" s="45"/>
      <c r="C6" s="52" t="s">
        <v>113</v>
      </c>
      <c r="D6" s="53">
        <f>((PI()*4/3)*D4^3)+(PI()*D4^2*(D5-(D4*2)))</f>
        <v>4.0434391846803031E-2</v>
      </c>
      <c r="E6" s="54" t="s">
        <v>510</v>
      </c>
      <c r="F6" s="46"/>
      <c r="G6" s="204"/>
      <c r="H6" s="45"/>
      <c r="I6" s="55" t="s">
        <v>113</v>
      </c>
      <c r="J6" s="56">
        <f>J5*1000</f>
        <v>30.113451543251042</v>
      </c>
      <c r="K6" s="57" t="s">
        <v>60</v>
      </c>
      <c r="L6" s="46"/>
      <c r="M6" s="204"/>
      <c r="N6" s="204"/>
      <c r="O6" s="204"/>
      <c r="P6" s="204"/>
      <c r="Q6" s="204"/>
    </row>
    <row r="7" spans="2:17" x14ac:dyDescent="0.35">
      <c r="B7" s="45"/>
      <c r="C7" s="55" t="s">
        <v>511</v>
      </c>
      <c r="D7" s="56">
        <f>D6*1000</f>
        <v>40.434391846803031</v>
      </c>
      <c r="E7" s="57" t="s">
        <v>60</v>
      </c>
      <c r="F7" s="46"/>
      <c r="G7" s="204"/>
      <c r="H7" s="45"/>
      <c r="I7" s="204"/>
      <c r="J7" s="204"/>
      <c r="K7" s="204"/>
      <c r="L7" s="46"/>
      <c r="M7" s="204"/>
      <c r="N7" s="204"/>
      <c r="O7" s="204"/>
      <c r="P7" s="204"/>
      <c r="Q7" s="204"/>
    </row>
    <row r="8" spans="2:17" x14ac:dyDescent="0.35">
      <c r="B8" s="45"/>
      <c r="C8" s="204"/>
      <c r="D8" s="204"/>
      <c r="E8" s="204"/>
      <c r="F8" s="46"/>
      <c r="G8" s="204"/>
      <c r="H8" s="45"/>
      <c r="I8" s="204"/>
      <c r="J8" s="204"/>
      <c r="K8" s="204"/>
      <c r="L8" s="46"/>
      <c r="M8" s="204"/>
      <c r="N8" s="204"/>
      <c r="O8" s="204"/>
      <c r="P8" s="204"/>
      <c r="Q8" s="204">
        <v>15</v>
      </c>
    </row>
    <row r="9" spans="2:17" x14ac:dyDescent="0.35">
      <c r="B9" s="45"/>
      <c r="C9" s="204"/>
      <c r="D9" s="204"/>
      <c r="E9" s="204"/>
      <c r="F9" s="46"/>
      <c r="G9" s="204"/>
      <c r="H9" s="45"/>
      <c r="I9" s="204"/>
      <c r="J9" s="204"/>
      <c r="K9" s="204"/>
      <c r="L9" s="46"/>
      <c r="M9" s="204"/>
      <c r="N9" s="204"/>
      <c r="O9" s="204"/>
      <c r="P9" s="204"/>
      <c r="Q9" s="204">
        <v>40</v>
      </c>
    </row>
    <row r="10" spans="2:17" x14ac:dyDescent="0.35">
      <c r="B10" s="45"/>
      <c r="C10" s="204"/>
      <c r="D10" s="204"/>
      <c r="E10" s="204"/>
      <c r="F10" s="46"/>
      <c r="G10" s="204"/>
      <c r="H10" s="45"/>
      <c r="I10" s="204"/>
      <c r="J10" s="204"/>
      <c r="K10" s="204"/>
      <c r="L10" s="46"/>
      <c r="M10" s="204"/>
      <c r="N10" s="204"/>
      <c r="O10" s="204"/>
      <c r="P10" s="204"/>
      <c r="Q10" s="204">
        <f>Q9/Q8</f>
        <v>2.6666666666666665</v>
      </c>
    </row>
    <row r="11" spans="2:17" x14ac:dyDescent="0.35">
      <c r="B11" s="45"/>
      <c r="C11" s="204"/>
      <c r="D11" s="204"/>
      <c r="E11" s="204"/>
      <c r="F11" s="46"/>
      <c r="G11" s="204"/>
      <c r="H11" s="45"/>
      <c r="I11" s="204"/>
      <c r="J11" s="204"/>
      <c r="K11" s="204"/>
      <c r="L11" s="46"/>
      <c r="M11" s="204"/>
      <c r="N11" s="204"/>
      <c r="O11" s="204"/>
      <c r="P11" s="204"/>
      <c r="Q11" s="204"/>
    </row>
    <row r="12" spans="2:17" x14ac:dyDescent="0.35">
      <c r="B12" s="45"/>
      <c r="C12" s="204"/>
      <c r="D12" s="204"/>
      <c r="E12" s="204"/>
      <c r="F12" s="46"/>
      <c r="G12" s="204"/>
      <c r="H12" s="45"/>
      <c r="I12" s="204"/>
      <c r="J12" s="204"/>
      <c r="K12" s="204"/>
      <c r="L12" s="46"/>
      <c r="M12" s="204"/>
      <c r="N12" s="204"/>
      <c r="O12" s="204"/>
      <c r="P12" s="204"/>
      <c r="Q12" s="204"/>
    </row>
    <row r="13" spans="2:17" x14ac:dyDescent="0.35">
      <c r="B13" s="45"/>
      <c r="C13" s="204"/>
      <c r="D13" s="204"/>
      <c r="E13" s="204"/>
      <c r="F13" s="46"/>
      <c r="G13" s="204"/>
      <c r="H13" s="45"/>
      <c r="I13" s="204"/>
      <c r="J13" s="204"/>
      <c r="K13" s="204"/>
      <c r="L13" s="46"/>
      <c r="M13" s="204"/>
      <c r="N13" s="204"/>
      <c r="O13" s="204"/>
      <c r="P13" s="204"/>
      <c r="Q13" s="204"/>
    </row>
    <row r="14" spans="2:17" x14ac:dyDescent="0.35">
      <c r="B14" s="45"/>
      <c r="C14" s="204"/>
      <c r="D14" s="204"/>
      <c r="E14" s="204"/>
      <c r="F14" s="46"/>
      <c r="G14" s="204"/>
      <c r="H14" s="45"/>
      <c r="I14" s="204"/>
      <c r="J14" s="204"/>
      <c r="K14" s="204"/>
      <c r="L14" s="46"/>
      <c r="M14" s="204"/>
      <c r="N14" s="204"/>
      <c r="O14" s="204"/>
      <c r="P14" s="204"/>
      <c r="Q14" s="204"/>
    </row>
    <row r="15" spans="2:17" x14ac:dyDescent="0.35">
      <c r="B15" s="58"/>
      <c r="C15" s="59"/>
      <c r="D15" s="59"/>
      <c r="E15" s="59"/>
      <c r="F15" s="60"/>
      <c r="G15" s="204"/>
      <c r="H15" s="58"/>
      <c r="I15" s="59"/>
      <c r="J15" s="59"/>
      <c r="K15" s="59"/>
      <c r="L15" s="60"/>
      <c r="M15" s="204"/>
      <c r="N15" s="204"/>
      <c r="O15" s="204"/>
      <c r="P15" s="204"/>
      <c r="Q15" s="204"/>
    </row>
    <row r="16" spans="2:17" x14ac:dyDescent="0.35">
      <c r="B16" s="204"/>
      <c r="C16" s="204"/>
      <c r="D16" s="204"/>
      <c r="E16" s="204"/>
      <c r="F16" s="204"/>
      <c r="G16" s="204"/>
      <c r="H16"/>
      <c r="I16" s="204"/>
      <c r="J16" s="204"/>
      <c r="K16" s="204"/>
      <c r="L16" s="204"/>
      <c r="M16" s="204"/>
      <c r="N16" s="204"/>
      <c r="O16" s="204"/>
      <c r="P16" s="204"/>
      <c r="Q16" s="204"/>
    </row>
    <row r="17" spans="2:12" x14ac:dyDescent="0.35">
      <c r="B17" s="267" t="s">
        <v>512</v>
      </c>
      <c r="C17" s="268"/>
      <c r="D17" s="268"/>
      <c r="E17" s="268"/>
      <c r="F17" s="269"/>
      <c r="G17" s="204"/>
      <c r="H17" s="270" t="s">
        <v>513</v>
      </c>
      <c r="I17" s="271"/>
      <c r="J17" s="271"/>
      <c r="K17" s="271"/>
      <c r="L17" s="272"/>
    </row>
    <row r="18" spans="2:12" x14ac:dyDescent="0.35">
      <c r="B18" s="45"/>
      <c r="C18" s="204"/>
      <c r="D18" s="204"/>
      <c r="E18" s="204"/>
      <c r="F18" s="46"/>
      <c r="G18" s="204"/>
      <c r="H18" s="45"/>
      <c r="I18" s="204"/>
      <c r="J18" s="204"/>
      <c r="K18" s="204"/>
      <c r="L18" s="46"/>
    </row>
    <row r="19" spans="2:12" x14ac:dyDescent="0.35">
      <c r="B19" s="45"/>
      <c r="C19" s="47" t="s">
        <v>507</v>
      </c>
      <c r="D19" s="48">
        <v>0.625</v>
      </c>
      <c r="E19" s="49" t="s">
        <v>508</v>
      </c>
      <c r="F19" s="46"/>
      <c r="G19" s="204"/>
      <c r="H19" s="45"/>
      <c r="I19" s="47" t="s">
        <v>507</v>
      </c>
      <c r="J19" s="48">
        <f>0.625/2</f>
        <v>0.3125</v>
      </c>
      <c r="K19" s="49" t="s">
        <v>508</v>
      </c>
      <c r="L19" s="46"/>
    </row>
    <row r="20" spans="2:12" x14ac:dyDescent="0.35">
      <c r="B20" s="45"/>
      <c r="C20" s="50" t="s">
        <v>514</v>
      </c>
      <c r="D20" s="48">
        <v>0.4</v>
      </c>
      <c r="E20" s="51" t="s">
        <v>508</v>
      </c>
      <c r="F20" s="46"/>
      <c r="G20" s="204"/>
      <c r="H20" s="45"/>
      <c r="I20" s="50" t="s">
        <v>509</v>
      </c>
      <c r="J20" s="48">
        <v>0.24199999999999999</v>
      </c>
      <c r="K20" s="51" t="s">
        <v>508</v>
      </c>
      <c r="L20" s="46"/>
    </row>
    <row r="21" spans="2:12" ht="16.5" x14ac:dyDescent="0.35">
      <c r="B21" s="45"/>
      <c r="C21" s="50" t="s">
        <v>515</v>
      </c>
      <c r="D21" s="2">
        <v>90</v>
      </c>
      <c r="E21" s="51" t="s">
        <v>516</v>
      </c>
      <c r="F21" s="46"/>
      <c r="G21" s="204"/>
      <c r="H21" s="45"/>
      <c r="I21" s="52" t="s">
        <v>113</v>
      </c>
      <c r="J21" s="53">
        <f>((4/3)*PI())*J19^3</f>
        <v>0.12783173232380343</v>
      </c>
      <c r="K21" s="54" t="s">
        <v>510</v>
      </c>
      <c r="L21" s="46"/>
    </row>
    <row r="22" spans="2:12" ht="16.5" x14ac:dyDescent="0.35">
      <c r="B22" s="45"/>
      <c r="C22" s="50" t="s">
        <v>113</v>
      </c>
      <c r="D22" s="61">
        <v>0.12271846484375</v>
      </c>
      <c r="E22" s="51" t="s">
        <v>517</v>
      </c>
      <c r="F22" s="46"/>
      <c r="G22" s="204"/>
      <c r="H22" s="45"/>
      <c r="I22" s="55" t="s">
        <v>113</v>
      </c>
      <c r="J22" s="56">
        <f>J21*1000</f>
        <v>127.83173232380344</v>
      </c>
      <c r="K22" s="57" t="s">
        <v>60</v>
      </c>
      <c r="L22" s="46"/>
    </row>
    <row r="23" spans="2:12" x14ac:dyDescent="0.35">
      <c r="B23" s="45"/>
      <c r="C23" s="62" t="s">
        <v>113</v>
      </c>
      <c r="D23" s="63">
        <f>D22*1000</f>
        <v>122.71846484375</v>
      </c>
      <c r="E23" s="64" t="s">
        <v>518</v>
      </c>
      <c r="F23" s="46"/>
      <c r="G23" s="204"/>
      <c r="H23" s="45"/>
      <c r="I23" s="204"/>
      <c r="J23" s="204"/>
      <c r="K23" s="204"/>
      <c r="L23" s="46"/>
    </row>
    <row r="24" spans="2:12" x14ac:dyDescent="0.35">
      <c r="B24" s="45"/>
      <c r="C24" s="204"/>
      <c r="D24" s="204"/>
      <c r="E24" s="204"/>
      <c r="F24" s="46"/>
      <c r="G24" s="204"/>
      <c r="H24" s="45"/>
      <c r="I24" s="204"/>
      <c r="J24" s="204"/>
      <c r="K24" s="204"/>
      <c r="L24" s="46"/>
    </row>
    <row r="25" spans="2:12" x14ac:dyDescent="0.35">
      <c r="B25" s="45"/>
      <c r="C25" s="204"/>
      <c r="D25" s="204"/>
      <c r="E25" s="204"/>
      <c r="F25" s="46"/>
      <c r="G25" s="204"/>
      <c r="H25" s="45"/>
      <c r="I25" s="204"/>
      <c r="J25" s="204"/>
      <c r="K25" s="204"/>
      <c r="L25" s="46"/>
    </row>
    <row r="26" spans="2:12" x14ac:dyDescent="0.35">
      <c r="B26" s="45"/>
      <c r="C26" s="204"/>
      <c r="D26" s="204"/>
      <c r="E26" s="204"/>
      <c r="F26" s="46"/>
      <c r="G26" s="204"/>
      <c r="H26" s="45"/>
      <c r="I26" s="204"/>
      <c r="J26" s="204"/>
      <c r="K26" s="204"/>
      <c r="L26" s="46"/>
    </row>
    <row r="27" spans="2:12" x14ac:dyDescent="0.35">
      <c r="B27" s="45"/>
      <c r="C27" s="204"/>
      <c r="D27" s="204"/>
      <c r="E27" s="204"/>
      <c r="F27" s="46"/>
      <c r="G27" s="204"/>
      <c r="H27" s="45"/>
      <c r="I27" s="204"/>
      <c r="J27" s="204"/>
      <c r="K27" s="204"/>
      <c r="L27" s="46"/>
    </row>
    <row r="28" spans="2:12" x14ac:dyDescent="0.35">
      <c r="B28" s="45"/>
      <c r="C28" s="204"/>
      <c r="D28" s="204"/>
      <c r="E28" s="204"/>
      <c r="F28" s="46"/>
      <c r="G28" s="204"/>
      <c r="H28" s="45"/>
      <c r="I28" s="204"/>
      <c r="J28" s="204"/>
      <c r="K28" s="204"/>
      <c r="L28" s="46"/>
    </row>
    <row r="29" spans="2:12" x14ac:dyDescent="0.35">
      <c r="B29" s="45"/>
      <c r="C29" s="204"/>
      <c r="D29" s="204"/>
      <c r="E29" s="204"/>
      <c r="F29" s="46"/>
      <c r="G29" s="204"/>
      <c r="H29" s="45"/>
      <c r="I29" s="204"/>
      <c r="J29" s="204"/>
      <c r="K29" s="204"/>
      <c r="L29" s="46"/>
    </row>
    <row r="30" spans="2:12" x14ac:dyDescent="0.35">
      <c r="B30" s="45"/>
      <c r="C30" s="204"/>
      <c r="D30" s="204"/>
      <c r="E30" s="204"/>
      <c r="F30" s="46"/>
      <c r="G30" s="204"/>
      <c r="H30" s="45"/>
      <c r="I30" s="204"/>
      <c r="J30" s="204"/>
      <c r="K30" s="204"/>
      <c r="L30" s="46"/>
    </row>
    <row r="31" spans="2:12" x14ac:dyDescent="0.35">
      <c r="B31" s="45"/>
      <c r="C31" s="204"/>
      <c r="D31" s="204"/>
      <c r="E31" s="204"/>
      <c r="F31" s="46"/>
      <c r="G31" s="204"/>
      <c r="H31" s="45"/>
      <c r="I31" s="204"/>
      <c r="J31" s="204"/>
      <c r="K31" s="204"/>
      <c r="L31" s="46"/>
    </row>
    <row r="32" spans="2:12" x14ac:dyDescent="0.35">
      <c r="B32" s="45"/>
      <c r="C32" s="204"/>
      <c r="D32" s="204"/>
      <c r="E32" s="204"/>
      <c r="F32" s="46"/>
      <c r="G32" s="204"/>
      <c r="H32" s="45"/>
      <c r="I32" s="204"/>
      <c r="J32" s="204"/>
      <c r="K32" s="204"/>
      <c r="L32" s="46"/>
    </row>
    <row r="33" spans="2:12" x14ac:dyDescent="0.35">
      <c r="B33" s="58"/>
      <c r="C33" s="59"/>
      <c r="D33" s="59"/>
      <c r="E33" s="59"/>
      <c r="F33" s="60"/>
      <c r="G33" s="204"/>
      <c r="H33" s="58"/>
      <c r="I33" s="59"/>
      <c r="J33" s="59"/>
      <c r="K33" s="59"/>
      <c r="L33" s="60"/>
    </row>
  </sheetData>
  <mergeCells count="4">
    <mergeCell ref="B2:F2"/>
    <mergeCell ref="H2:L2"/>
    <mergeCell ref="B17:F17"/>
    <mergeCell ref="H17:L17"/>
  </mergeCell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7E6BA-6A22-4188-86CB-C94F13CBBB71}">
  <sheetPr codeName="Sheet15"/>
  <dimension ref="B2:D621"/>
  <sheetViews>
    <sheetView topLeftCell="A487" workbookViewId="0">
      <selection activeCell="B521" sqref="B521:C521"/>
    </sheetView>
  </sheetViews>
  <sheetFormatPr defaultColWidth="9.1796875" defaultRowHeight="14.5" x14ac:dyDescent="0.35"/>
  <cols>
    <col min="1" max="1" width="9.1796875" style="100"/>
    <col min="2" max="2" width="13.1796875" style="100" customWidth="1"/>
    <col min="3" max="3" width="11" style="100" customWidth="1"/>
    <col min="4" max="16384" width="9.1796875" style="100"/>
  </cols>
  <sheetData>
    <row r="2" spans="2:4" ht="21" x14ac:dyDescent="0.5">
      <c r="B2" s="103" t="s">
        <v>519</v>
      </c>
    </row>
    <row r="3" spans="2:4" x14ac:dyDescent="0.35">
      <c r="B3" s="102" t="s">
        <v>520</v>
      </c>
      <c r="C3" s="102">
        <v>1.2</v>
      </c>
    </row>
    <row r="4" spans="2:4" x14ac:dyDescent="0.35">
      <c r="B4" s="101" t="s">
        <v>48</v>
      </c>
      <c r="C4" s="101" t="s">
        <v>49</v>
      </c>
    </row>
    <row r="5" spans="2:4" x14ac:dyDescent="0.35">
      <c r="B5" s="104">
        <v>11</v>
      </c>
      <c r="C5" s="105">
        <f>B5*1.2</f>
        <v>13.2</v>
      </c>
    </row>
    <row r="6" spans="2:4" x14ac:dyDescent="0.35">
      <c r="B6" s="105">
        <f>C6/1.2</f>
        <v>0.90000000000000013</v>
      </c>
      <c r="C6" s="104">
        <v>1.08</v>
      </c>
    </row>
    <row r="9" spans="2:4" ht="21" x14ac:dyDescent="0.5">
      <c r="B9" s="103" t="s">
        <v>521</v>
      </c>
    </row>
    <row r="10" spans="2:4" x14ac:dyDescent="0.35">
      <c r="B10" s="101" t="s">
        <v>48</v>
      </c>
      <c r="C10" s="101" t="s">
        <v>49</v>
      </c>
    </row>
    <row r="11" spans="2:4" x14ac:dyDescent="0.35">
      <c r="B11" s="104">
        <v>11</v>
      </c>
      <c r="C11" s="105">
        <f>B11*1.2</f>
        <v>13.2</v>
      </c>
      <c r="D11" s="100" t="s">
        <v>473</v>
      </c>
    </row>
    <row r="12" spans="2:4" x14ac:dyDescent="0.35">
      <c r="B12" s="105">
        <f>B11*2</f>
        <v>22</v>
      </c>
      <c r="C12" s="105">
        <f t="shared" ref="C12:C14" si="0">B12*1.2</f>
        <v>26.4</v>
      </c>
      <c r="D12" s="100" t="s">
        <v>474</v>
      </c>
    </row>
    <row r="13" spans="2:4" x14ac:dyDescent="0.35">
      <c r="B13" s="105">
        <f>B11*3</f>
        <v>33</v>
      </c>
      <c r="C13" s="105">
        <f t="shared" si="0"/>
        <v>39.6</v>
      </c>
      <c r="D13" s="100" t="s">
        <v>522</v>
      </c>
    </row>
    <row r="14" spans="2:4" x14ac:dyDescent="0.35">
      <c r="B14" s="105">
        <f>B11*4</f>
        <v>44</v>
      </c>
      <c r="C14" s="105">
        <f t="shared" si="0"/>
        <v>52.8</v>
      </c>
      <c r="D14" s="100" t="s">
        <v>476</v>
      </c>
    </row>
    <row r="18" spans="2:4" x14ac:dyDescent="0.35">
      <c r="B18" t="s">
        <v>48</v>
      </c>
      <c r="C18" t="s">
        <v>49</v>
      </c>
      <c r="D18" s="100" t="s">
        <v>57</v>
      </c>
    </row>
    <row r="19" spans="2:4" x14ac:dyDescent="0.35">
      <c r="B19">
        <v>1</v>
      </c>
      <c r="C19">
        <f>B19*1.2</f>
        <v>1.2</v>
      </c>
      <c r="D19" s="100">
        <f>MOD(Fuel1.2Ratio[[#This Row],[Oxydizer]],1)</f>
        <v>0.19999999999999996</v>
      </c>
    </row>
    <row r="20" spans="2:4" x14ac:dyDescent="0.35">
      <c r="B20">
        <v>2</v>
      </c>
      <c r="C20">
        <f t="shared" ref="C20:C83" si="1">B20*1.2</f>
        <v>2.4</v>
      </c>
      <c r="D20" s="100">
        <f>MOD(Fuel1.2Ratio[[#This Row],[Oxydizer]],1)</f>
        <v>0.39999999999999991</v>
      </c>
    </row>
    <row r="21" spans="2:4" x14ac:dyDescent="0.35">
      <c r="B21">
        <v>3</v>
      </c>
      <c r="C21">
        <f t="shared" si="1"/>
        <v>3.5999999999999996</v>
      </c>
      <c r="D21" s="100">
        <f>MOD(Fuel1.2Ratio[[#This Row],[Oxydizer]],1)</f>
        <v>0.59999999999999964</v>
      </c>
    </row>
    <row r="22" spans="2:4" x14ac:dyDescent="0.35">
      <c r="B22">
        <v>4</v>
      </c>
      <c r="C22">
        <f t="shared" si="1"/>
        <v>4.8</v>
      </c>
      <c r="D22" s="100">
        <f>MOD(Fuel1.2Ratio[[#This Row],[Oxydizer]],1)</f>
        <v>0.79999999999999982</v>
      </c>
    </row>
    <row r="23" spans="2:4" x14ac:dyDescent="0.35">
      <c r="B23">
        <v>5</v>
      </c>
      <c r="C23">
        <f t="shared" si="1"/>
        <v>6</v>
      </c>
      <c r="D23" s="100">
        <f>MOD(Fuel1.2Ratio[[#This Row],[Oxydizer]],1)</f>
        <v>0</v>
      </c>
    </row>
    <row r="24" spans="2:4" x14ac:dyDescent="0.35">
      <c r="B24">
        <v>6</v>
      </c>
      <c r="C24">
        <f t="shared" si="1"/>
        <v>7.1999999999999993</v>
      </c>
      <c r="D24" s="100">
        <f>MOD(Fuel1.2Ratio[[#This Row],[Oxydizer]],1)</f>
        <v>0.19999999999999929</v>
      </c>
    </row>
    <row r="25" spans="2:4" x14ac:dyDescent="0.35">
      <c r="B25">
        <v>7</v>
      </c>
      <c r="C25">
        <f t="shared" si="1"/>
        <v>8.4</v>
      </c>
      <c r="D25" s="100">
        <f>MOD(Fuel1.2Ratio[[#This Row],[Oxydizer]],1)</f>
        <v>0.40000000000000036</v>
      </c>
    </row>
    <row r="26" spans="2:4" x14ac:dyDescent="0.35">
      <c r="B26">
        <v>8</v>
      </c>
      <c r="C26">
        <f t="shared" si="1"/>
        <v>9.6</v>
      </c>
      <c r="D26" s="100">
        <f>MOD(Fuel1.2Ratio[[#This Row],[Oxydizer]],1)</f>
        <v>0.59999999999999964</v>
      </c>
    </row>
    <row r="27" spans="2:4" x14ac:dyDescent="0.35">
      <c r="B27">
        <v>9</v>
      </c>
      <c r="C27">
        <f t="shared" si="1"/>
        <v>10.799999999999999</v>
      </c>
      <c r="D27" s="100">
        <f>MOD(Fuel1.2Ratio[[#This Row],[Oxydizer]],1)</f>
        <v>0.79999999999999893</v>
      </c>
    </row>
    <row r="28" spans="2:4" x14ac:dyDescent="0.35">
      <c r="B28">
        <v>10</v>
      </c>
      <c r="C28">
        <f t="shared" si="1"/>
        <v>12</v>
      </c>
      <c r="D28" s="100">
        <f>MOD(Fuel1.2Ratio[[#This Row],[Oxydizer]],1)</f>
        <v>0</v>
      </c>
    </row>
    <row r="29" spans="2:4" x14ac:dyDescent="0.35">
      <c r="B29">
        <v>11</v>
      </c>
      <c r="C29">
        <f t="shared" si="1"/>
        <v>13.2</v>
      </c>
      <c r="D29" s="100">
        <f>MOD(Fuel1.2Ratio[[#This Row],[Oxydizer]],1)</f>
        <v>0.19999999999999929</v>
      </c>
    </row>
    <row r="30" spans="2:4" x14ac:dyDescent="0.35">
      <c r="B30">
        <v>12</v>
      </c>
      <c r="C30">
        <f t="shared" si="1"/>
        <v>14.399999999999999</v>
      </c>
      <c r="D30" s="100">
        <f>MOD(Fuel1.2Ratio[[#This Row],[Oxydizer]],1)</f>
        <v>0.39999999999999858</v>
      </c>
    </row>
    <row r="31" spans="2:4" x14ac:dyDescent="0.35">
      <c r="B31">
        <v>13</v>
      </c>
      <c r="C31">
        <f t="shared" si="1"/>
        <v>15.6</v>
      </c>
      <c r="D31" s="100">
        <f>MOD(Fuel1.2Ratio[[#This Row],[Oxydizer]],1)</f>
        <v>0.59999999999999964</v>
      </c>
    </row>
    <row r="32" spans="2:4" x14ac:dyDescent="0.35">
      <c r="B32">
        <v>14</v>
      </c>
      <c r="C32">
        <f t="shared" si="1"/>
        <v>16.8</v>
      </c>
      <c r="D32" s="100">
        <f>MOD(Fuel1.2Ratio[[#This Row],[Oxydizer]],1)</f>
        <v>0.80000000000000071</v>
      </c>
    </row>
    <row r="33" spans="2:4" x14ac:dyDescent="0.35">
      <c r="B33">
        <v>15</v>
      </c>
      <c r="C33">
        <f t="shared" si="1"/>
        <v>18</v>
      </c>
      <c r="D33" s="100">
        <f>MOD(Fuel1.2Ratio[[#This Row],[Oxydizer]],1)</f>
        <v>0</v>
      </c>
    </row>
    <row r="34" spans="2:4" x14ac:dyDescent="0.35">
      <c r="B34">
        <v>16</v>
      </c>
      <c r="C34">
        <f t="shared" si="1"/>
        <v>19.2</v>
      </c>
      <c r="D34" s="100">
        <f>MOD(Fuel1.2Ratio[[#This Row],[Oxydizer]],1)</f>
        <v>0.19999999999999929</v>
      </c>
    </row>
    <row r="35" spans="2:4" x14ac:dyDescent="0.35">
      <c r="B35">
        <v>17</v>
      </c>
      <c r="C35">
        <f t="shared" si="1"/>
        <v>20.399999999999999</v>
      </c>
      <c r="D35" s="100">
        <f>MOD(Fuel1.2Ratio[[#This Row],[Oxydizer]],1)</f>
        <v>0.39999999999999858</v>
      </c>
    </row>
    <row r="36" spans="2:4" x14ac:dyDescent="0.35">
      <c r="B36">
        <v>18</v>
      </c>
      <c r="C36">
        <f t="shared" si="1"/>
        <v>21.599999999999998</v>
      </c>
      <c r="D36" s="100">
        <f>MOD(Fuel1.2Ratio[[#This Row],[Oxydizer]],1)</f>
        <v>0.59999999999999787</v>
      </c>
    </row>
    <row r="37" spans="2:4" x14ac:dyDescent="0.35">
      <c r="B37">
        <v>19</v>
      </c>
      <c r="C37">
        <f t="shared" si="1"/>
        <v>22.8</v>
      </c>
      <c r="D37" s="100">
        <f>MOD(Fuel1.2Ratio[[#This Row],[Oxydizer]],1)</f>
        <v>0.80000000000000071</v>
      </c>
    </row>
    <row r="38" spans="2:4" x14ac:dyDescent="0.35">
      <c r="B38">
        <v>20</v>
      </c>
      <c r="C38">
        <f t="shared" si="1"/>
        <v>24</v>
      </c>
      <c r="D38" s="100">
        <f>MOD(Fuel1.2Ratio[[#This Row],[Oxydizer]],1)</f>
        <v>0</v>
      </c>
    </row>
    <row r="39" spans="2:4" x14ac:dyDescent="0.35">
      <c r="B39">
        <v>21</v>
      </c>
      <c r="C39">
        <f t="shared" si="1"/>
        <v>25.2</v>
      </c>
      <c r="D39" s="100">
        <f>MOD(Fuel1.2Ratio[[#This Row],[Oxydizer]],1)</f>
        <v>0.19999999999999929</v>
      </c>
    </row>
    <row r="40" spans="2:4" x14ac:dyDescent="0.35">
      <c r="B40">
        <v>22</v>
      </c>
      <c r="C40">
        <f t="shared" si="1"/>
        <v>26.4</v>
      </c>
      <c r="D40" s="100">
        <f>MOD(Fuel1.2Ratio[[#This Row],[Oxydizer]],1)</f>
        <v>0.39999999999999858</v>
      </c>
    </row>
    <row r="41" spans="2:4" x14ac:dyDescent="0.35">
      <c r="B41">
        <v>23</v>
      </c>
      <c r="C41">
        <f t="shared" si="1"/>
        <v>27.599999999999998</v>
      </c>
      <c r="D41" s="100">
        <f>MOD(Fuel1.2Ratio[[#This Row],[Oxydizer]],1)</f>
        <v>0.59999999999999787</v>
      </c>
    </row>
    <row r="42" spans="2:4" x14ac:dyDescent="0.35">
      <c r="B42">
        <v>24</v>
      </c>
      <c r="C42">
        <f t="shared" si="1"/>
        <v>28.799999999999997</v>
      </c>
      <c r="D42" s="100">
        <f>MOD(Fuel1.2Ratio[[#This Row],[Oxydizer]],1)</f>
        <v>0.79999999999999716</v>
      </c>
    </row>
    <row r="43" spans="2:4" x14ac:dyDescent="0.35">
      <c r="B43">
        <v>25</v>
      </c>
      <c r="C43">
        <f t="shared" si="1"/>
        <v>30</v>
      </c>
      <c r="D43" s="100">
        <f>MOD(Fuel1.2Ratio[[#This Row],[Oxydizer]],1)</f>
        <v>0</v>
      </c>
    </row>
    <row r="44" spans="2:4" x14ac:dyDescent="0.35">
      <c r="B44">
        <v>26</v>
      </c>
      <c r="C44">
        <f t="shared" si="1"/>
        <v>31.2</v>
      </c>
      <c r="D44" s="100">
        <f>MOD(Fuel1.2Ratio[[#This Row],[Oxydizer]],1)</f>
        <v>0.19999999999999929</v>
      </c>
    </row>
    <row r="45" spans="2:4" x14ac:dyDescent="0.35">
      <c r="B45">
        <v>27</v>
      </c>
      <c r="C45">
        <f t="shared" si="1"/>
        <v>32.4</v>
      </c>
      <c r="D45" s="100">
        <f>MOD(Fuel1.2Ratio[[#This Row],[Oxydizer]],1)</f>
        <v>0.39999999999999858</v>
      </c>
    </row>
    <row r="46" spans="2:4" x14ac:dyDescent="0.35">
      <c r="B46">
        <v>28</v>
      </c>
      <c r="C46">
        <f t="shared" si="1"/>
        <v>33.6</v>
      </c>
      <c r="D46" s="100">
        <f>MOD(Fuel1.2Ratio[[#This Row],[Oxydizer]],1)</f>
        <v>0.60000000000000142</v>
      </c>
    </row>
    <row r="47" spans="2:4" x14ac:dyDescent="0.35">
      <c r="B47">
        <v>29</v>
      </c>
      <c r="C47">
        <f t="shared" si="1"/>
        <v>34.799999999999997</v>
      </c>
      <c r="D47" s="100">
        <f>MOD(Fuel1.2Ratio[[#This Row],[Oxydizer]],1)</f>
        <v>0.79999999999999716</v>
      </c>
    </row>
    <row r="48" spans="2:4" x14ac:dyDescent="0.35">
      <c r="B48">
        <v>30</v>
      </c>
      <c r="C48">
        <f t="shared" si="1"/>
        <v>36</v>
      </c>
      <c r="D48" s="100">
        <f>MOD(Fuel1.2Ratio[[#This Row],[Oxydizer]],1)</f>
        <v>0</v>
      </c>
    </row>
    <row r="49" spans="2:4" x14ac:dyDescent="0.35">
      <c r="B49">
        <v>31</v>
      </c>
      <c r="C49">
        <f t="shared" si="1"/>
        <v>37.199999999999996</v>
      </c>
      <c r="D49" s="100">
        <f>MOD(Fuel1.2Ratio[[#This Row],[Oxydizer]],1)</f>
        <v>0.19999999999999574</v>
      </c>
    </row>
    <row r="50" spans="2:4" x14ac:dyDescent="0.35">
      <c r="B50">
        <v>32</v>
      </c>
      <c r="C50">
        <f t="shared" si="1"/>
        <v>38.4</v>
      </c>
      <c r="D50" s="100">
        <f>MOD(Fuel1.2Ratio[[#This Row],[Oxydizer]],1)</f>
        <v>0.39999999999999858</v>
      </c>
    </row>
    <row r="51" spans="2:4" x14ac:dyDescent="0.35">
      <c r="B51">
        <v>33</v>
      </c>
      <c r="C51">
        <f t="shared" si="1"/>
        <v>39.6</v>
      </c>
      <c r="D51" s="100">
        <f>MOD(Fuel1.2Ratio[[#This Row],[Oxydizer]],1)</f>
        <v>0.60000000000000142</v>
      </c>
    </row>
    <row r="52" spans="2:4" x14ac:dyDescent="0.35">
      <c r="B52">
        <v>34</v>
      </c>
      <c r="C52">
        <f t="shared" si="1"/>
        <v>40.799999999999997</v>
      </c>
      <c r="D52" s="100">
        <f>MOD(Fuel1.2Ratio[[#This Row],[Oxydizer]],1)</f>
        <v>0.79999999999999716</v>
      </c>
    </row>
    <row r="53" spans="2:4" x14ac:dyDescent="0.35">
      <c r="B53">
        <v>35</v>
      </c>
      <c r="C53">
        <f t="shared" si="1"/>
        <v>42</v>
      </c>
      <c r="D53" s="100">
        <f>MOD(Fuel1.2Ratio[[#This Row],[Oxydizer]],1)</f>
        <v>0</v>
      </c>
    </row>
    <row r="54" spans="2:4" x14ac:dyDescent="0.35">
      <c r="B54">
        <v>36</v>
      </c>
      <c r="C54">
        <f t="shared" si="1"/>
        <v>43.199999999999996</v>
      </c>
      <c r="D54" s="100">
        <f>MOD(Fuel1.2Ratio[[#This Row],[Oxydizer]],1)</f>
        <v>0.19999999999999574</v>
      </c>
    </row>
    <row r="55" spans="2:4" x14ac:dyDescent="0.35">
      <c r="B55">
        <v>37</v>
      </c>
      <c r="C55">
        <f t="shared" si="1"/>
        <v>44.4</v>
      </c>
      <c r="D55" s="100">
        <f>MOD(Fuel1.2Ratio[[#This Row],[Oxydizer]],1)</f>
        <v>0.39999999999999858</v>
      </c>
    </row>
    <row r="56" spans="2:4" x14ac:dyDescent="0.35">
      <c r="B56">
        <v>38</v>
      </c>
      <c r="C56">
        <f t="shared" si="1"/>
        <v>45.6</v>
      </c>
      <c r="D56" s="100">
        <f>MOD(Fuel1.2Ratio[[#This Row],[Oxydizer]],1)</f>
        <v>0.60000000000000142</v>
      </c>
    </row>
    <row r="57" spans="2:4" x14ac:dyDescent="0.35">
      <c r="B57">
        <v>39</v>
      </c>
      <c r="C57">
        <f t="shared" si="1"/>
        <v>46.8</v>
      </c>
      <c r="D57" s="100">
        <f>MOD(Fuel1.2Ratio[[#This Row],[Oxydizer]],1)</f>
        <v>0.79999999999999716</v>
      </c>
    </row>
    <row r="58" spans="2:4" x14ac:dyDescent="0.35">
      <c r="B58">
        <v>40</v>
      </c>
      <c r="C58">
        <f t="shared" si="1"/>
        <v>48</v>
      </c>
      <c r="D58" s="100">
        <f>MOD(Fuel1.2Ratio[[#This Row],[Oxydizer]],1)</f>
        <v>0</v>
      </c>
    </row>
    <row r="59" spans="2:4" x14ac:dyDescent="0.35">
      <c r="B59">
        <v>41</v>
      </c>
      <c r="C59">
        <f t="shared" si="1"/>
        <v>49.199999999999996</v>
      </c>
      <c r="D59" s="100">
        <f>MOD(Fuel1.2Ratio[[#This Row],[Oxydizer]],1)</f>
        <v>0.19999999999999574</v>
      </c>
    </row>
    <row r="60" spans="2:4" x14ac:dyDescent="0.35">
      <c r="B60">
        <v>42</v>
      </c>
      <c r="C60">
        <f t="shared" si="1"/>
        <v>50.4</v>
      </c>
      <c r="D60" s="100">
        <f>MOD(Fuel1.2Ratio[[#This Row],[Oxydizer]],1)</f>
        <v>0.39999999999999858</v>
      </c>
    </row>
    <row r="61" spans="2:4" x14ac:dyDescent="0.35">
      <c r="B61">
        <v>43</v>
      </c>
      <c r="C61">
        <f t="shared" si="1"/>
        <v>51.6</v>
      </c>
      <c r="D61" s="100">
        <f>MOD(Fuel1.2Ratio[[#This Row],[Oxydizer]],1)</f>
        <v>0.60000000000000142</v>
      </c>
    </row>
    <row r="62" spans="2:4" x14ac:dyDescent="0.35">
      <c r="B62">
        <v>44</v>
      </c>
      <c r="C62">
        <f t="shared" si="1"/>
        <v>52.8</v>
      </c>
      <c r="D62" s="100">
        <f>MOD(Fuel1.2Ratio[[#This Row],[Oxydizer]],1)</f>
        <v>0.79999999999999716</v>
      </c>
    </row>
    <row r="63" spans="2:4" x14ac:dyDescent="0.35">
      <c r="B63">
        <v>45</v>
      </c>
      <c r="C63">
        <f t="shared" si="1"/>
        <v>54</v>
      </c>
      <c r="D63" s="100">
        <f>MOD(Fuel1.2Ratio[[#This Row],[Oxydizer]],1)</f>
        <v>0</v>
      </c>
    </row>
    <row r="64" spans="2:4" x14ac:dyDescent="0.35">
      <c r="B64">
        <v>46</v>
      </c>
      <c r="C64">
        <f t="shared" si="1"/>
        <v>55.199999999999996</v>
      </c>
      <c r="D64" s="100">
        <f>MOD(Fuel1.2Ratio[[#This Row],[Oxydizer]],1)</f>
        <v>0.19999999999999574</v>
      </c>
    </row>
    <row r="65" spans="2:4" x14ac:dyDescent="0.35">
      <c r="B65">
        <v>47</v>
      </c>
      <c r="C65">
        <f t="shared" si="1"/>
        <v>56.4</v>
      </c>
      <c r="D65" s="100">
        <f>MOD(Fuel1.2Ratio[[#This Row],[Oxydizer]],1)</f>
        <v>0.39999999999999858</v>
      </c>
    </row>
    <row r="66" spans="2:4" x14ac:dyDescent="0.35">
      <c r="B66">
        <v>48</v>
      </c>
      <c r="C66">
        <f t="shared" si="1"/>
        <v>57.599999999999994</v>
      </c>
      <c r="D66" s="100">
        <f>MOD(Fuel1.2Ratio[[#This Row],[Oxydizer]],1)</f>
        <v>0.59999999999999432</v>
      </c>
    </row>
    <row r="67" spans="2:4" x14ac:dyDescent="0.35">
      <c r="B67">
        <v>49</v>
      </c>
      <c r="C67">
        <f t="shared" si="1"/>
        <v>58.8</v>
      </c>
      <c r="D67" s="100">
        <f>MOD(Fuel1.2Ratio[[#This Row],[Oxydizer]],1)</f>
        <v>0.79999999999999716</v>
      </c>
    </row>
    <row r="68" spans="2:4" x14ac:dyDescent="0.35">
      <c r="B68">
        <v>50</v>
      </c>
      <c r="C68">
        <f t="shared" si="1"/>
        <v>60</v>
      </c>
      <c r="D68" s="100">
        <f>MOD(Fuel1.2Ratio[[#This Row],[Oxydizer]],1)</f>
        <v>0</v>
      </c>
    </row>
    <row r="69" spans="2:4" x14ac:dyDescent="0.35">
      <c r="B69">
        <v>51</v>
      </c>
      <c r="C69">
        <f t="shared" si="1"/>
        <v>61.199999999999996</v>
      </c>
      <c r="D69" s="100">
        <f>MOD(Fuel1.2Ratio[[#This Row],[Oxydizer]],1)</f>
        <v>0.19999999999999574</v>
      </c>
    </row>
    <row r="70" spans="2:4" x14ac:dyDescent="0.35">
      <c r="B70">
        <v>52</v>
      </c>
      <c r="C70">
        <f t="shared" si="1"/>
        <v>62.4</v>
      </c>
      <c r="D70" s="100">
        <f>MOD(Fuel1.2Ratio[[#This Row],[Oxydizer]],1)</f>
        <v>0.39999999999999858</v>
      </c>
    </row>
    <row r="71" spans="2:4" x14ac:dyDescent="0.35">
      <c r="B71">
        <v>53</v>
      </c>
      <c r="C71">
        <f t="shared" si="1"/>
        <v>63.599999999999994</v>
      </c>
      <c r="D71" s="100">
        <f>MOD(Fuel1.2Ratio[[#This Row],[Oxydizer]],1)</f>
        <v>0.59999999999999432</v>
      </c>
    </row>
    <row r="72" spans="2:4" x14ac:dyDescent="0.35">
      <c r="B72">
        <v>54</v>
      </c>
      <c r="C72">
        <f t="shared" si="1"/>
        <v>64.8</v>
      </c>
      <c r="D72" s="100">
        <f>MOD(Fuel1.2Ratio[[#This Row],[Oxydizer]],1)</f>
        <v>0.79999999999999716</v>
      </c>
    </row>
    <row r="73" spans="2:4" x14ac:dyDescent="0.35">
      <c r="B73">
        <v>55</v>
      </c>
      <c r="C73">
        <f t="shared" si="1"/>
        <v>66</v>
      </c>
      <c r="D73" s="100">
        <f>MOD(Fuel1.2Ratio[[#This Row],[Oxydizer]],1)</f>
        <v>0</v>
      </c>
    </row>
    <row r="74" spans="2:4" x14ac:dyDescent="0.35">
      <c r="B74">
        <v>56</v>
      </c>
      <c r="C74">
        <f t="shared" si="1"/>
        <v>67.2</v>
      </c>
      <c r="D74" s="100">
        <f>MOD(Fuel1.2Ratio[[#This Row],[Oxydizer]],1)</f>
        <v>0.20000000000000284</v>
      </c>
    </row>
    <row r="75" spans="2:4" x14ac:dyDescent="0.35">
      <c r="B75">
        <v>57</v>
      </c>
      <c r="C75">
        <f t="shared" si="1"/>
        <v>68.399999999999991</v>
      </c>
      <c r="D75" s="100">
        <f>MOD(Fuel1.2Ratio[[#This Row],[Oxydizer]],1)</f>
        <v>0.39999999999999147</v>
      </c>
    </row>
    <row r="76" spans="2:4" x14ac:dyDescent="0.35">
      <c r="B76">
        <v>58</v>
      </c>
      <c r="C76">
        <f t="shared" si="1"/>
        <v>69.599999999999994</v>
      </c>
      <c r="D76" s="100">
        <f>MOD(Fuel1.2Ratio[[#This Row],[Oxydizer]],1)</f>
        <v>0.59999999999999432</v>
      </c>
    </row>
    <row r="77" spans="2:4" x14ac:dyDescent="0.35">
      <c r="B77">
        <v>59</v>
      </c>
      <c r="C77">
        <f t="shared" si="1"/>
        <v>70.8</v>
      </c>
      <c r="D77" s="100">
        <f>MOD(Fuel1.2Ratio[[#This Row],[Oxydizer]],1)</f>
        <v>0.79999999999999716</v>
      </c>
    </row>
    <row r="78" spans="2:4" x14ac:dyDescent="0.35">
      <c r="B78">
        <v>60</v>
      </c>
      <c r="C78">
        <f t="shared" si="1"/>
        <v>72</v>
      </c>
      <c r="D78" s="100">
        <f>MOD(Fuel1.2Ratio[[#This Row],[Oxydizer]],1)</f>
        <v>0</v>
      </c>
    </row>
    <row r="79" spans="2:4" x14ac:dyDescent="0.35">
      <c r="B79">
        <v>61</v>
      </c>
      <c r="C79">
        <f t="shared" si="1"/>
        <v>73.2</v>
      </c>
      <c r="D79" s="100">
        <f>MOD(Fuel1.2Ratio[[#This Row],[Oxydizer]],1)</f>
        <v>0.20000000000000284</v>
      </c>
    </row>
    <row r="80" spans="2:4" x14ac:dyDescent="0.35">
      <c r="B80">
        <v>62</v>
      </c>
      <c r="C80">
        <f t="shared" si="1"/>
        <v>74.399999999999991</v>
      </c>
      <c r="D80" s="100">
        <f>MOD(Fuel1.2Ratio[[#This Row],[Oxydizer]],1)</f>
        <v>0.39999999999999147</v>
      </c>
    </row>
    <row r="81" spans="2:4" x14ac:dyDescent="0.35">
      <c r="B81">
        <v>63</v>
      </c>
      <c r="C81">
        <f t="shared" si="1"/>
        <v>75.599999999999994</v>
      </c>
      <c r="D81" s="100">
        <f>MOD(Fuel1.2Ratio[[#This Row],[Oxydizer]],1)</f>
        <v>0.59999999999999432</v>
      </c>
    </row>
    <row r="82" spans="2:4" x14ac:dyDescent="0.35">
      <c r="B82">
        <v>64</v>
      </c>
      <c r="C82">
        <f t="shared" si="1"/>
        <v>76.8</v>
      </c>
      <c r="D82" s="100">
        <f>MOD(Fuel1.2Ratio[[#This Row],[Oxydizer]],1)</f>
        <v>0.79999999999999716</v>
      </c>
    </row>
    <row r="83" spans="2:4" x14ac:dyDescent="0.35">
      <c r="B83">
        <v>65</v>
      </c>
      <c r="C83">
        <f t="shared" si="1"/>
        <v>78</v>
      </c>
      <c r="D83" s="100">
        <f>MOD(Fuel1.2Ratio[[#This Row],[Oxydizer]],1)</f>
        <v>0</v>
      </c>
    </row>
    <row r="84" spans="2:4" x14ac:dyDescent="0.35">
      <c r="B84">
        <v>66</v>
      </c>
      <c r="C84">
        <f t="shared" ref="C84:C147" si="2">B84*1.2</f>
        <v>79.2</v>
      </c>
      <c r="D84" s="100">
        <f>MOD(Fuel1.2Ratio[[#This Row],[Oxydizer]],1)</f>
        <v>0.20000000000000284</v>
      </c>
    </row>
    <row r="85" spans="2:4" x14ac:dyDescent="0.35">
      <c r="B85">
        <v>67</v>
      </c>
      <c r="C85">
        <f t="shared" si="2"/>
        <v>80.399999999999991</v>
      </c>
      <c r="D85" s="100">
        <f>MOD(Fuel1.2Ratio[[#This Row],[Oxydizer]],1)</f>
        <v>0.39999999999999147</v>
      </c>
    </row>
    <row r="86" spans="2:4" x14ac:dyDescent="0.35">
      <c r="B86">
        <v>68</v>
      </c>
      <c r="C86">
        <f t="shared" si="2"/>
        <v>81.599999999999994</v>
      </c>
      <c r="D86" s="100">
        <f>MOD(Fuel1.2Ratio[[#This Row],[Oxydizer]],1)</f>
        <v>0.59999999999999432</v>
      </c>
    </row>
    <row r="87" spans="2:4" x14ac:dyDescent="0.35">
      <c r="B87">
        <v>69</v>
      </c>
      <c r="C87">
        <f t="shared" si="2"/>
        <v>82.8</v>
      </c>
      <c r="D87" s="100">
        <f>MOD(Fuel1.2Ratio[[#This Row],[Oxydizer]],1)</f>
        <v>0.79999999999999716</v>
      </c>
    </row>
    <row r="88" spans="2:4" x14ac:dyDescent="0.35">
      <c r="B88">
        <v>70</v>
      </c>
      <c r="C88">
        <f t="shared" si="2"/>
        <v>84</v>
      </c>
      <c r="D88" s="100">
        <f>MOD(Fuel1.2Ratio[[#This Row],[Oxydizer]],1)</f>
        <v>0</v>
      </c>
    </row>
    <row r="89" spans="2:4" x14ac:dyDescent="0.35">
      <c r="B89">
        <v>71</v>
      </c>
      <c r="C89">
        <f t="shared" si="2"/>
        <v>85.2</v>
      </c>
      <c r="D89" s="100">
        <f>MOD(Fuel1.2Ratio[[#This Row],[Oxydizer]],1)</f>
        <v>0.20000000000000284</v>
      </c>
    </row>
    <row r="90" spans="2:4" x14ac:dyDescent="0.35">
      <c r="B90">
        <v>72</v>
      </c>
      <c r="C90">
        <f t="shared" si="2"/>
        <v>86.399999999999991</v>
      </c>
      <c r="D90" s="100">
        <f>MOD(Fuel1.2Ratio[[#This Row],[Oxydizer]],1)</f>
        <v>0.39999999999999147</v>
      </c>
    </row>
    <row r="91" spans="2:4" x14ac:dyDescent="0.35">
      <c r="B91">
        <v>73</v>
      </c>
      <c r="C91">
        <f t="shared" si="2"/>
        <v>87.6</v>
      </c>
      <c r="D91" s="100">
        <f>MOD(Fuel1.2Ratio[[#This Row],[Oxydizer]],1)</f>
        <v>0.59999999999999432</v>
      </c>
    </row>
    <row r="92" spans="2:4" x14ac:dyDescent="0.35">
      <c r="B92">
        <v>74</v>
      </c>
      <c r="C92">
        <f t="shared" si="2"/>
        <v>88.8</v>
      </c>
      <c r="D92" s="100">
        <f>MOD(Fuel1.2Ratio[[#This Row],[Oxydizer]],1)</f>
        <v>0.79999999999999716</v>
      </c>
    </row>
    <row r="93" spans="2:4" x14ac:dyDescent="0.35">
      <c r="B93">
        <v>75</v>
      </c>
      <c r="C93">
        <f t="shared" si="2"/>
        <v>90</v>
      </c>
      <c r="D93" s="100">
        <f>MOD(Fuel1.2Ratio[[#This Row],[Oxydizer]],1)</f>
        <v>0</v>
      </c>
    </row>
    <row r="94" spans="2:4" x14ac:dyDescent="0.35">
      <c r="B94">
        <v>76</v>
      </c>
      <c r="C94">
        <f t="shared" si="2"/>
        <v>91.2</v>
      </c>
      <c r="D94" s="100">
        <f>MOD(Fuel1.2Ratio[[#This Row],[Oxydizer]],1)</f>
        <v>0.20000000000000284</v>
      </c>
    </row>
    <row r="95" spans="2:4" x14ac:dyDescent="0.35">
      <c r="B95">
        <v>77</v>
      </c>
      <c r="C95">
        <f t="shared" si="2"/>
        <v>92.399999999999991</v>
      </c>
      <c r="D95" s="100">
        <f>MOD(Fuel1.2Ratio[[#This Row],[Oxydizer]],1)</f>
        <v>0.39999999999999147</v>
      </c>
    </row>
    <row r="96" spans="2:4" x14ac:dyDescent="0.35">
      <c r="B96">
        <v>78</v>
      </c>
      <c r="C96">
        <f t="shared" si="2"/>
        <v>93.6</v>
      </c>
      <c r="D96" s="100">
        <f>MOD(Fuel1.2Ratio[[#This Row],[Oxydizer]],1)</f>
        <v>0.59999999999999432</v>
      </c>
    </row>
    <row r="97" spans="2:4" x14ac:dyDescent="0.35">
      <c r="B97">
        <v>79</v>
      </c>
      <c r="C97">
        <f t="shared" si="2"/>
        <v>94.8</v>
      </c>
      <c r="D97" s="100">
        <f>MOD(Fuel1.2Ratio[[#This Row],[Oxydizer]],1)</f>
        <v>0.79999999999999716</v>
      </c>
    </row>
    <row r="98" spans="2:4" x14ac:dyDescent="0.35">
      <c r="B98">
        <v>80</v>
      </c>
      <c r="C98">
        <f t="shared" si="2"/>
        <v>96</v>
      </c>
      <c r="D98" s="100">
        <f>MOD(Fuel1.2Ratio[[#This Row],[Oxydizer]],1)</f>
        <v>0</v>
      </c>
    </row>
    <row r="99" spans="2:4" x14ac:dyDescent="0.35">
      <c r="B99">
        <v>81</v>
      </c>
      <c r="C99">
        <f t="shared" si="2"/>
        <v>97.2</v>
      </c>
      <c r="D99" s="100">
        <f>MOD(Fuel1.2Ratio[[#This Row],[Oxydizer]],1)</f>
        <v>0.20000000000000284</v>
      </c>
    </row>
    <row r="100" spans="2:4" x14ac:dyDescent="0.35">
      <c r="B100">
        <v>82</v>
      </c>
      <c r="C100">
        <f t="shared" si="2"/>
        <v>98.399999999999991</v>
      </c>
      <c r="D100" s="100">
        <f>MOD(Fuel1.2Ratio[[#This Row],[Oxydizer]],1)</f>
        <v>0.39999999999999147</v>
      </c>
    </row>
    <row r="101" spans="2:4" x14ac:dyDescent="0.35">
      <c r="B101">
        <v>83</v>
      </c>
      <c r="C101">
        <f t="shared" si="2"/>
        <v>99.6</v>
      </c>
      <c r="D101" s="100">
        <f>MOD(Fuel1.2Ratio[[#This Row],[Oxydizer]],1)</f>
        <v>0.59999999999999432</v>
      </c>
    </row>
    <row r="102" spans="2:4" x14ac:dyDescent="0.35">
      <c r="B102">
        <v>84</v>
      </c>
      <c r="C102">
        <f t="shared" si="2"/>
        <v>100.8</v>
      </c>
      <c r="D102" s="100">
        <f>MOD(Fuel1.2Ratio[[#This Row],[Oxydizer]],1)</f>
        <v>0.79999999999999716</v>
      </c>
    </row>
    <row r="103" spans="2:4" x14ac:dyDescent="0.35">
      <c r="B103">
        <v>85</v>
      </c>
      <c r="C103">
        <f t="shared" si="2"/>
        <v>102</v>
      </c>
      <c r="D103" s="100">
        <f>MOD(Fuel1.2Ratio[[#This Row],[Oxydizer]],1)</f>
        <v>0</v>
      </c>
    </row>
    <row r="104" spans="2:4" x14ac:dyDescent="0.35">
      <c r="B104">
        <v>86</v>
      </c>
      <c r="C104">
        <f t="shared" si="2"/>
        <v>103.2</v>
      </c>
      <c r="D104" s="100">
        <f>MOD(Fuel1.2Ratio[[#This Row],[Oxydizer]],1)</f>
        <v>0.20000000000000284</v>
      </c>
    </row>
    <row r="105" spans="2:4" x14ac:dyDescent="0.35">
      <c r="B105">
        <v>87</v>
      </c>
      <c r="C105">
        <f t="shared" si="2"/>
        <v>104.39999999999999</v>
      </c>
      <c r="D105" s="100">
        <f>MOD(Fuel1.2Ratio[[#This Row],[Oxydizer]],1)</f>
        <v>0.39999999999999147</v>
      </c>
    </row>
    <row r="106" spans="2:4" x14ac:dyDescent="0.35">
      <c r="B106">
        <v>88</v>
      </c>
      <c r="C106">
        <f t="shared" si="2"/>
        <v>105.6</v>
      </c>
      <c r="D106" s="100">
        <f>MOD(Fuel1.2Ratio[[#This Row],[Oxydizer]],1)</f>
        <v>0.59999999999999432</v>
      </c>
    </row>
    <row r="107" spans="2:4" x14ac:dyDescent="0.35">
      <c r="B107">
        <v>89</v>
      </c>
      <c r="C107">
        <f t="shared" si="2"/>
        <v>106.8</v>
      </c>
      <c r="D107" s="100">
        <f>MOD(Fuel1.2Ratio[[#This Row],[Oxydizer]],1)</f>
        <v>0.79999999999999716</v>
      </c>
    </row>
    <row r="108" spans="2:4" x14ac:dyDescent="0.35">
      <c r="B108">
        <v>90</v>
      </c>
      <c r="C108">
        <f t="shared" si="2"/>
        <v>108</v>
      </c>
      <c r="D108" s="100">
        <f>MOD(Fuel1.2Ratio[[#This Row],[Oxydizer]],1)</f>
        <v>0</v>
      </c>
    </row>
    <row r="109" spans="2:4" x14ac:dyDescent="0.35">
      <c r="B109">
        <v>91</v>
      </c>
      <c r="C109">
        <f t="shared" si="2"/>
        <v>109.2</v>
      </c>
      <c r="D109" s="100">
        <f>MOD(Fuel1.2Ratio[[#This Row],[Oxydizer]],1)</f>
        <v>0.20000000000000284</v>
      </c>
    </row>
    <row r="110" spans="2:4" x14ac:dyDescent="0.35">
      <c r="B110">
        <v>92</v>
      </c>
      <c r="C110">
        <f t="shared" si="2"/>
        <v>110.39999999999999</v>
      </c>
      <c r="D110" s="100">
        <f>MOD(Fuel1.2Ratio[[#This Row],[Oxydizer]],1)</f>
        <v>0.39999999999999147</v>
      </c>
    </row>
    <row r="111" spans="2:4" x14ac:dyDescent="0.35">
      <c r="B111">
        <v>93</v>
      </c>
      <c r="C111">
        <f t="shared" si="2"/>
        <v>111.6</v>
      </c>
      <c r="D111" s="100">
        <f>MOD(Fuel1.2Ratio[[#This Row],[Oxydizer]],1)</f>
        <v>0.59999999999999432</v>
      </c>
    </row>
    <row r="112" spans="2:4" x14ac:dyDescent="0.35">
      <c r="B112">
        <v>94</v>
      </c>
      <c r="C112">
        <f t="shared" si="2"/>
        <v>112.8</v>
      </c>
      <c r="D112" s="100">
        <f>MOD(Fuel1.2Ratio[[#This Row],[Oxydizer]],1)</f>
        <v>0.79999999999999716</v>
      </c>
    </row>
    <row r="113" spans="2:4" x14ac:dyDescent="0.35">
      <c r="B113">
        <v>95</v>
      </c>
      <c r="C113">
        <f t="shared" si="2"/>
        <v>114</v>
      </c>
      <c r="D113" s="100">
        <f>MOD(Fuel1.2Ratio[[#This Row],[Oxydizer]],1)</f>
        <v>0</v>
      </c>
    </row>
    <row r="114" spans="2:4" x14ac:dyDescent="0.35">
      <c r="B114">
        <v>96</v>
      </c>
      <c r="C114">
        <f t="shared" si="2"/>
        <v>115.19999999999999</v>
      </c>
      <c r="D114" s="100">
        <f>MOD(Fuel1.2Ratio[[#This Row],[Oxydizer]],1)</f>
        <v>0.19999999999998863</v>
      </c>
    </row>
    <row r="115" spans="2:4" x14ac:dyDescent="0.35">
      <c r="B115">
        <v>97</v>
      </c>
      <c r="C115">
        <f t="shared" si="2"/>
        <v>116.39999999999999</v>
      </c>
      <c r="D115" s="100">
        <f>MOD(Fuel1.2Ratio[[#This Row],[Oxydizer]],1)</f>
        <v>0.39999999999999147</v>
      </c>
    </row>
    <row r="116" spans="2:4" x14ac:dyDescent="0.35">
      <c r="B116">
        <v>98</v>
      </c>
      <c r="C116">
        <f t="shared" si="2"/>
        <v>117.6</v>
      </c>
      <c r="D116" s="100">
        <f>MOD(Fuel1.2Ratio[[#This Row],[Oxydizer]],1)</f>
        <v>0.59999999999999432</v>
      </c>
    </row>
    <row r="117" spans="2:4" x14ac:dyDescent="0.35">
      <c r="B117">
        <v>99</v>
      </c>
      <c r="C117">
        <f t="shared" si="2"/>
        <v>118.8</v>
      </c>
      <c r="D117" s="100">
        <f>MOD(Fuel1.2Ratio[[#This Row],[Oxydizer]],1)</f>
        <v>0.79999999999999716</v>
      </c>
    </row>
    <row r="118" spans="2:4" x14ac:dyDescent="0.35">
      <c r="B118">
        <v>100</v>
      </c>
      <c r="C118">
        <f t="shared" si="2"/>
        <v>120</v>
      </c>
      <c r="D118" s="100">
        <f>MOD(Fuel1.2Ratio[[#This Row],[Oxydizer]],1)</f>
        <v>0</v>
      </c>
    </row>
    <row r="119" spans="2:4" x14ac:dyDescent="0.35">
      <c r="B119">
        <v>101</v>
      </c>
      <c r="C119">
        <f t="shared" si="2"/>
        <v>121.19999999999999</v>
      </c>
      <c r="D119" s="100">
        <f>MOD(Fuel1.2Ratio[[#This Row],[Oxydizer]],1)</f>
        <v>0.19999999999998863</v>
      </c>
    </row>
    <row r="120" spans="2:4" x14ac:dyDescent="0.35">
      <c r="B120">
        <v>102</v>
      </c>
      <c r="C120">
        <f t="shared" si="2"/>
        <v>122.39999999999999</v>
      </c>
      <c r="D120" s="100">
        <f>MOD(Fuel1.2Ratio[[#This Row],[Oxydizer]],1)</f>
        <v>0.39999999999999147</v>
      </c>
    </row>
    <row r="121" spans="2:4" x14ac:dyDescent="0.35">
      <c r="B121">
        <v>103</v>
      </c>
      <c r="C121">
        <f t="shared" si="2"/>
        <v>123.6</v>
      </c>
      <c r="D121" s="100">
        <f>MOD(Fuel1.2Ratio[[#This Row],[Oxydizer]],1)</f>
        <v>0.59999999999999432</v>
      </c>
    </row>
    <row r="122" spans="2:4" x14ac:dyDescent="0.35">
      <c r="B122">
        <v>104</v>
      </c>
      <c r="C122">
        <f t="shared" si="2"/>
        <v>124.8</v>
      </c>
      <c r="D122" s="100">
        <f>MOD(Fuel1.2Ratio[[#This Row],[Oxydizer]],1)</f>
        <v>0.79999999999999716</v>
      </c>
    </row>
    <row r="123" spans="2:4" x14ac:dyDescent="0.35">
      <c r="B123">
        <v>105</v>
      </c>
      <c r="C123">
        <f t="shared" si="2"/>
        <v>126</v>
      </c>
      <c r="D123" s="100">
        <f>MOD(Fuel1.2Ratio[[#This Row],[Oxydizer]],1)</f>
        <v>0</v>
      </c>
    </row>
    <row r="124" spans="2:4" x14ac:dyDescent="0.35">
      <c r="B124">
        <v>106</v>
      </c>
      <c r="C124">
        <f t="shared" si="2"/>
        <v>127.19999999999999</v>
      </c>
      <c r="D124" s="100">
        <f>MOD(Fuel1.2Ratio[[#This Row],[Oxydizer]],1)</f>
        <v>0.19999999999998863</v>
      </c>
    </row>
    <row r="125" spans="2:4" x14ac:dyDescent="0.35">
      <c r="B125">
        <v>107</v>
      </c>
      <c r="C125">
        <f t="shared" si="2"/>
        <v>128.4</v>
      </c>
      <c r="D125" s="100">
        <f>MOD(Fuel1.2Ratio[[#This Row],[Oxydizer]],1)</f>
        <v>0.40000000000000568</v>
      </c>
    </row>
    <row r="126" spans="2:4" x14ac:dyDescent="0.35">
      <c r="B126">
        <v>108</v>
      </c>
      <c r="C126">
        <f t="shared" si="2"/>
        <v>129.6</v>
      </c>
      <c r="D126" s="100">
        <f>MOD(Fuel1.2Ratio[[#This Row],[Oxydizer]],1)</f>
        <v>0.59999999999999432</v>
      </c>
    </row>
    <row r="127" spans="2:4" x14ac:dyDescent="0.35">
      <c r="B127">
        <v>109</v>
      </c>
      <c r="C127">
        <f t="shared" si="2"/>
        <v>130.79999999999998</v>
      </c>
      <c r="D127" s="100">
        <f>MOD(Fuel1.2Ratio[[#This Row],[Oxydizer]],1)</f>
        <v>0.79999999999998295</v>
      </c>
    </row>
    <row r="128" spans="2:4" x14ac:dyDescent="0.35">
      <c r="B128">
        <v>110</v>
      </c>
      <c r="C128">
        <f t="shared" si="2"/>
        <v>132</v>
      </c>
      <c r="D128" s="100">
        <f>MOD(Fuel1.2Ratio[[#This Row],[Oxydizer]],1)</f>
        <v>0</v>
      </c>
    </row>
    <row r="129" spans="2:4" x14ac:dyDescent="0.35">
      <c r="B129">
        <v>111</v>
      </c>
      <c r="C129">
        <f t="shared" si="2"/>
        <v>133.19999999999999</v>
      </c>
      <c r="D129" s="100">
        <f>MOD(Fuel1.2Ratio[[#This Row],[Oxydizer]],1)</f>
        <v>0.19999999999998863</v>
      </c>
    </row>
    <row r="130" spans="2:4" x14ac:dyDescent="0.35">
      <c r="B130">
        <v>112</v>
      </c>
      <c r="C130">
        <f t="shared" si="2"/>
        <v>134.4</v>
      </c>
      <c r="D130" s="100">
        <f>MOD(Fuel1.2Ratio[[#This Row],[Oxydizer]],1)</f>
        <v>0.40000000000000568</v>
      </c>
    </row>
    <row r="131" spans="2:4" x14ac:dyDescent="0.35">
      <c r="B131">
        <v>113</v>
      </c>
      <c r="C131">
        <f t="shared" si="2"/>
        <v>135.6</v>
      </c>
      <c r="D131" s="100">
        <f>MOD(Fuel1.2Ratio[[#This Row],[Oxydizer]],1)</f>
        <v>0.59999999999999432</v>
      </c>
    </row>
    <row r="132" spans="2:4" x14ac:dyDescent="0.35">
      <c r="B132">
        <v>114</v>
      </c>
      <c r="C132">
        <f t="shared" si="2"/>
        <v>136.79999999999998</v>
      </c>
      <c r="D132" s="100">
        <f>MOD(Fuel1.2Ratio[[#This Row],[Oxydizer]],1)</f>
        <v>0.79999999999998295</v>
      </c>
    </row>
    <row r="133" spans="2:4" x14ac:dyDescent="0.35">
      <c r="B133">
        <v>115</v>
      </c>
      <c r="C133">
        <f t="shared" si="2"/>
        <v>138</v>
      </c>
      <c r="D133" s="100">
        <f>MOD(Fuel1.2Ratio[[#This Row],[Oxydizer]],1)</f>
        <v>0</v>
      </c>
    </row>
    <row r="134" spans="2:4" x14ac:dyDescent="0.35">
      <c r="B134">
        <v>116</v>
      </c>
      <c r="C134">
        <f t="shared" si="2"/>
        <v>139.19999999999999</v>
      </c>
      <c r="D134" s="100">
        <f>MOD(Fuel1.2Ratio[[#This Row],[Oxydizer]],1)</f>
        <v>0.19999999999998863</v>
      </c>
    </row>
    <row r="135" spans="2:4" x14ac:dyDescent="0.35">
      <c r="B135">
        <v>117</v>
      </c>
      <c r="C135">
        <f t="shared" si="2"/>
        <v>140.4</v>
      </c>
      <c r="D135" s="100">
        <f>MOD(Fuel1.2Ratio[[#This Row],[Oxydizer]],1)</f>
        <v>0.40000000000000568</v>
      </c>
    </row>
    <row r="136" spans="2:4" x14ac:dyDescent="0.35">
      <c r="B136">
        <v>118</v>
      </c>
      <c r="C136">
        <f t="shared" si="2"/>
        <v>141.6</v>
      </c>
      <c r="D136" s="100">
        <f>MOD(Fuel1.2Ratio[[#This Row],[Oxydizer]],1)</f>
        <v>0.59999999999999432</v>
      </c>
    </row>
    <row r="137" spans="2:4" x14ac:dyDescent="0.35">
      <c r="B137">
        <v>119</v>
      </c>
      <c r="C137">
        <f t="shared" si="2"/>
        <v>142.79999999999998</v>
      </c>
      <c r="D137" s="100">
        <f>MOD(Fuel1.2Ratio[[#This Row],[Oxydizer]],1)</f>
        <v>0.79999999999998295</v>
      </c>
    </row>
    <row r="138" spans="2:4" x14ac:dyDescent="0.35">
      <c r="B138">
        <v>120</v>
      </c>
      <c r="C138">
        <f t="shared" si="2"/>
        <v>144</v>
      </c>
      <c r="D138" s="100">
        <f>MOD(Fuel1.2Ratio[[#This Row],[Oxydizer]],1)</f>
        <v>0</v>
      </c>
    </row>
    <row r="139" spans="2:4" x14ac:dyDescent="0.35">
      <c r="B139">
        <v>121</v>
      </c>
      <c r="C139">
        <f t="shared" si="2"/>
        <v>145.19999999999999</v>
      </c>
      <c r="D139" s="100">
        <f>MOD(Fuel1.2Ratio[[#This Row],[Oxydizer]],1)</f>
        <v>0.19999999999998863</v>
      </c>
    </row>
    <row r="140" spans="2:4" x14ac:dyDescent="0.35">
      <c r="B140">
        <v>122</v>
      </c>
      <c r="C140">
        <f t="shared" si="2"/>
        <v>146.4</v>
      </c>
      <c r="D140" s="100">
        <f>MOD(Fuel1.2Ratio[[#This Row],[Oxydizer]],1)</f>
        <v>0.40000000000000568</v>
      </c>
    </row>
    <row r="141" spans="2:4" x14ac:dyDescent="0.35">
      <c r="B141">
        <v>123</v>
      </c>
      <c r="C141">
        <f t="shared" si="2"/>
        <v>147.6</v>
      </c>
      <c r="D141" s="100">
        <f>MOD(Fuel1.2Ratio[[#This Row],[Oxydizer]],1)</f>
        <v>0.59999999999999432</v>
      </c>
    </row>
    <row r="142" spans="2:4" x14ac:dyDescent="0.35">
      <c r="B142">
        <v>124</v>
      </c>
      <c r="C142">
        <f t="shared" si="2"/>
        <v>148.79999999999998</v>
      </c>
      <c r="D142" s="100">
        <f>MOD(Fuel1.2Ratio[[#This Row],[Oxydizer]],1)</f>
        <v>0.79999999999998295</v>
      </c>
    </row>
    <row r="143" spans="2:4" x14ac:dyDescent="0.35">
      <c r="B143">
        <v>125</v>
      </c>
      <c r="C143">
        <f t="shared" si="2"/>
        <v>150</v>
      </c>
      <c r="D143" s="100">
        <f>MOD(Fuel1.2Ratio[[#This Row],[Oxydizer]],1)</f>
        <v>0</v>
      </c>
    </row>
    <row r="144" spans="2:4" x14ac:dyDescent="0.35">
      <c r="B144">
        <v>126</v>
      </c>
      <c r="C144">
        <f t="shared" si="2"/>
        <v>151.19999999999999</v>
      </c>
      <c r="D144" s="100">
        <f>MOD(Fuel1.2Ratio[[#This Row],[Oxydizer]],1)</f>
        <v>0.19999999999998863</v>
      </c>
    </row>
    <row r="145" spans="2:4" x14ac:dyDescent="0.35">
      <c r="B145">
        <v>127</v>
      </c>
      <c r="C145">
        <f t="shared" si="2"/>
        <v>152.4</v>
      </c>
      <c r="D145" s="100">
        <f>MOD(Fuel1.2Ratio[[#This Row],[Oxydizer]],1)</f>
        <v>0.40000000000000568</v>
      </c>
    </row>
    <row r="146" spans="2:4" x14ac:dyDescent="0.35">
      <c r="B146">
        <v>128</v>
      </c>
      <c r="C146">
        <f t="shared" si="2"/>
        <v>153.6</v>
      </c>
      <c r="D146" s="100">
        <f>MOD(Fuel1.2Ratio[[#This Row],[Oxydizer]],1)</f>
        <v>0.59999999999999432</v>
      </c>
    </row>
    <row r="147" spans="2:4" x14ac:dyDescent="0.35">
      <c r="B147">
        <v>129</v>
      </c>
      <c r="C147">
        <f t="shared" si="2"/>
        <v>154.79999999999998</v>
      </c>
      <c r="D147" s="100">
        <f>MOD(Fuel1.2Ratio[[#This Row],[Oxydizer]],1)</f>
        <v>0.79999999999998295</v>
      </c>
    </row>
    <row r="148" spans="2:4" x14ac:dyDescent="0.35">
      <c r="B148">
        <v>130</v>
      </c>
      <c r="C148">
        <f t="shared" ref="C148:C211" si="3">B148*1.2</f>
        <v>156</v>
      </c>
      <c r="D148" s="100">
        <f>MOD(Fuel1.2Ratio[[#This Row],[Oxydizer]],1)</f>
        <v>0</v>
      </c>
    </row>
    <row r="149" spans="2:4" x14ac:dyDescent="0.35">
      <c r="B149">
        <v>131</v>
      </c>
      <c r="C149">
        <f t="shared" si="3"/>
        <v>157.19999999999999</v>
      </c>
      <c r="D149" s="100">
        <f>MOD(Fuel1.2Ratio[[#This Row],[Oxydizer]],1)</f>
        <v>0.19999999999998863</v>
      </c>
    </row>
    <row r="150" spans="2:4" x14ac:dyDescent="0.35">
      <c r="B150">
        <v>132</v>
      </c>
      <c r="C150">
        <f t="shared" si="3"/>
        <v>158.4</v>
      </c>
      <c r="D150" s="100">
        <f>MOD(Fuel1.2Ratio[[#This Row],[Oxydizer]],1)</f>
        <v>0.40000000000000568</v>
      </c>
    </row>
    <row r="151" spans="2:4" x14ac:dyDescent="0.35">
      <c r="B151">
        <v>133</v>
      </c>
      <c r="C151">
        <f t="shared" si="3"/>
        <v>159.6</v>
      </c>
      <c r="D151" s="100">
        <f>MOD(Fuel1.2Ratio[[#This Row],[Oxydizer]],1)</f>
        <v>0.59999999999999432</v>
      </c>
    </row>
    <row r="152" spans="2:4" x14ac:dyDescent="0.35">
      <c r="B152">
        <v>134</v>
      </c>
      <c r="C152">
        <f t="shared" si="3"/>
        <v>160.79999999999998</v>
      </c>
      <c r="D152" s="100">
        <f>MOD(Fuel1.2Ratio[[#This Row],[Oxydizer]],1)</f>
        <v>0.79999999999998295</v>
      </c>
    </row>
    <row r="153" spans="2:4" x14ac:dyDescent="0.35">
      <c r="B153">
        <v>135</v>
      </c>
      <c r="C153">
        <f t="shared" si="3"/>
        <v>162</v>
      </c>
      <c r="D153" s="100">
        <f>MOD(Fuel1.2Ratio[[#This Row],[Oxydizer]],1)</f>
        <v>0</v>
      </c>
    </row>
    <row r="154" spans="2:4" x14ac:dyDescent="0.35">
      <c r="B154">
        <v>136</v>
      </c>
      <c r="C154">
        <f t="shared" si="3"/>
        <v>163.19999999999999</v>
      </c>
      <c r="D154" s="100">
        <f>MOD(Fuel1.2Ratio[[#This Row],[Oxydizer]],1)</f>
        <v>0.19999999999998863</v>
      </c>
    </row>
    <row r="155" spans="2:4" x14ac:dyDescent="0.35">
      <c r="B155">
        <v>137</v>
      </c>
      <c r="C155">
        <f t="shared" si="3"/>
        <v>164.4</v>
      </c>
      <c r="D155" s="100">
        <f>MOD(Fuel1.2Ratio[[#This Row],[Oxydizer]],1)</f>
        <v>0.40000000000000568</v>
      </c>
    </row>
    <row r="156" spans="2:4" x14ac:dyDescent="0.35">
      <c r="B156">
        <v>138</v>
      </c>
      <c r="C156">
        <f t="shared" si="3"/>
        <v>165.6</v>
      </c>
      <c r="D156" s="100">
        <f>MOD(Fuel1.2Ratio[[#This Row],[Oxydizer]],1)</f>
        <v>0.59999999999999432</v>
      </c>
    </row>
    <row r="157" spans="2:4" x14ac:dyDescent="0.35">
      <c r="B157">
        <v>139</v>
      </c>
      <c r="C157">
        <f t="shared" si="3"/>
        <v>166.79999999999998</v>
      </c>
      <c r="D157" s="100">
        <f>MOD(Fuel1.2Ratio[[#This Row],[Oxydizer]],1)</f>
        <v>0.79999999999998295</v>
      </c>
    </row>
    <row r="158" spans="2:4" x14ac:dyDescent="0.35">
      <c r="B158">
        <v>140</v>
      </c>
      <c r="C158">
        <f t="shared" si="3"/>
        <v>168</v>
      </c>
      <c r="D158" s="100">
        <f>MOD(Fuel1.2Ratio[[#This Row],[Oxydizer]],1)</f>
        <v>0</v>
      </c>
    </row>
    <row r="159" spans="2:4" x14ac:dyDescent="0.35">
      <c r="B159">
        <v>141</v>
      </c>
      <c r="C159">
        <f t="shared" si="3"/>
        <v>169.2</v>
      </c>
      <c r="D159" s="100">
        <f>MOD(Fuel1.2Ratio[[#This Row],[Oxydizer]],1)</f>
        <v>0.19999999999998863</v>
      </c>
    </row>
    <row r="160" spans="2:4" x14ac:dyDescent="0.35">
      <c r="B160">
        <v>142</v>
      </c>
      <c r="C160">
        <f t="shared" si="3"/>
        <v>170.4</v>
      </c>
      <c r="D160" s="100">
        <f>MOD(Fuel1.2Ratio[[#This Row],[Oxydizer]],1)</f>
        <v>0.40000000000000568</v>
      </c>
    </row>
    <row r="161" spans="2:4" x14ac:dyDescent="0.35">
      <c r="B161">
        <v>143</v>
      </c>
      <c r="C161">
        <f t="shared" si="3"/>
        <v>171.6</v>
      </c>
      <c r="D161" s="100">
        <f>MOD(Fuel1.2Ratio[[#This Row],[Oxydizer]],1)</f>
        <v>0.59999999999999432</v>
      </c>
    </row>
    <row r="162" spans="2:4" x14ac:dyDescent="0.35">
      <c r="B162">
        <v>144</v>
      </c>
      <c r="C162">
        <f t="shared" si="3"/>
        <v>172.79999999999998</v>
      </c>
      <c r="D162" s="100">
        <f>MOD(Fuel1.2Ratio[[#This Row],[Oxydizer]],1)</f>
        <v>0.79999999999998295</v>
      </c>
    </row>
    <row r="163" spans="2:4" x14ac:dyDescent="0.35">
      <c r="B163">
        <v>145</v>
      </c>
      <c r="C163">
        <f t="shared" si="3"/>
        <v>174</v>
      </c>
      <c r="D163" s="100">
        <f>MOD(Fuel1.2Ratio[[#This Row],[Oxydizer]],1)</f>
        <v>0</v>
      </c>
    </row>
    <row r="164" spans="2:4" x14ac:dyDescent="0.35">
      <c r="B164">
        <v>146</v>
      </c>
      <c r="C164">
        <f t="shared" si="3"/>
        <v>175.2</v>
      </c>
      <c r="D164" s="100">
        <f>MOD(Fuel1.2Ratio[[#This Row],[Oxydizer]],1)</f>
        <v>0.19999999999998863</v>
      </c>
    </row>
    <row r="165" spans="2:4" x14ac:dyDescent="0.35">
      <c r="B165">
        <v>147</v>
      </c>
      <c r="C165">
        <f t="shared" si="3"/>
        <v>176.4</v>
      </c>
      <c r="D165" s="100">
        <f>MOD(Fuel1.2Ratio[[#This Row],[Oxydizer]],1)</f>
        <v>0.40000000000000568</v>
      </c>
    </row>
    <row r="166" spans="2:4" x14ac:dyDescent="0.35">
      <c r="B166">
        <v>148</v>
      </c>
      <c r="C166">
        <f t="shared" si="3"/>
        <v>177.6</v>
      </c>
      <c r="D166" s="100">
        <f>MOD(Fuel1.2Ratio[[#This Row],[Oxydizer]],1)</f>
        <v>0.59999999999999432</v>
      </c>
    </row>
    <row r="167" spans="2:4" x14ac:dyDescent="0.35">
      <c r="B167">
        <v>149</v>
      </c>
      <c r="C167">
        <f t="shared" si="3"/>
        <v>178.79999999999998</v>
      </c>
      <c r="D167" s="100">
        <f>MOD(Fuel1.2Ratio[[#This Row],[Oxydizer]],1)</f>
        <v>0.79999999999998295</v>
      </c>
    </row>
    <row r="168" spans="2:4" x14ac:dyDescent="0.35">
      <c r="B168">
        <v>150</v>
      </c>
      <c r="C168">
        <f t="shared" si="3"/>
        <v>180</v>
      </c>
      <c r="D168" s="100">
        <f>MOD(Fuel1.2Ratio[[#This Row],[Oxydizer]],1)</f>
        <v>0</v>
      </c>
    </row>
    <row r="169" spans="2:4" x14ac:dyDescent="0.35">
      <c r="B169">
        <v>151</v>
      </c>
      <c r="C169">
        <f t="shared" si="3"/>
        <v>181.2</v>
      </c>
      <c r="D169" s="100">
        <f>MOD(Fuel1.2Ratio[[#This Row],[Oxydizer]],1)</f>
        <v>0.19999999999998863</v>
      </c>
    </row>
    <row r="170" spans="2:4" x14ac:dyDescent="0.35">
      <c r="B170">
        <v>152</v>
      </c>
      <c r="C170">
        <f t="shared" si="3"/>
        <v>182.4</v>
      </c>
      <c r="D170" s="100">
        <f>MOD(Fuel1.2Ratio[[#This Row],[Oxydizer]],1)</f>
        <v>0.40000000000000568</v>
      </c>
    </row>
    <row r="171" spans="2:4" x14ac:dyDescent="0.35">
      <c r="B171">
        <v>153</v>
      </c>
      <c r="C171">
        <f t="shared" si="3"/>
        <v>183.6</v>
      </c>
      <c r="D171" s="100">
        <f>MOD(Fuel1.2Ratio[[#This Row],[Oxydizer]],1)</f>
        <v>0.59999999999999432</v>
      </c>
    </row>
    <row r="172" spans="2:4" x14ac:dyDescent="0.35">
      <c r="B172">
        <v>154</v>
      </c>
      <c r="C172">
        <f t="shared" si="3"/>
        <v>184.79999999999998</v>
      </c>
      <c r="D172" s="100">
        <f>MOD(Fuel1.2Ratio[[#This Row],[Oxydizer]],1)</f>
        <v>0.79999999999998295</v>
      </c>
    </row>
    <row r="173" spans="2:4" x14ac:dyDescent="0.35">
      <c r="B173">
        <v>155</v>
      </c>
      <c r="C173">
        <f t="shared" si="3"/>
        <v>186</v>
      </c>
      <c r="D173" s="100">
        <f>MOD(Fuel1.2Ratio[[#This Row],[Oxydizer]],1)</f>
        <v>0</v>
      </c>
    </row>
    <row r="174" spans="2:4" x14ac:dyDescent="0.35">
      <c r="B174">
        <v>156</v>
      </c>
      <c r="C174">
        <f t="shared" si="3"/>
        <v>187.2</v>
      </c>
      <c r="D174" s="100">
        <f>MOD(Fuel1.2Ratio[[#This Row],[Oxydizer]],1)</f>
        <v>0.19999999999998863</v>
      </c>
    </row>
    <row r="175" spans="2:4" x14ac:dyDescent="0.35">
      <c r="B175">
        <v>157</v>
      </c>
      <c r="C175">
        <f t="shared" si="3"/>
        <v>188.4</v>
      </c>
      <c r="D175" s="100">
        <f>MOD(Fuel1.2Ratio[[#This Row],[Oxydizer]],1)</f>
        <v>0.40000000000000568</v>
      </c>
    </row>
    <row r="176" spans="2:4" x14ac:dyDescent="0.35">
      <c r="B176">
        <v>158</v>
      </c>
      <c r="C176">
        <f t="shared" si="3"/>
        <v>189.6</v>
      </c>
      <c r="D176" s="100">
        <f>MOD(Fuel1.2Ratio[[#This Row],[Oxydizer]],1)</f>
        <v>0.59999999999999432</v>
      </c>
    </row>
    <row r="177" spans="2:4" x14ac:dyDescent="0.35">
      <c r="B177">
        <v>159</v>
      </c>
      <c r="C177">
        <f t="shared" si="3"/>
        <v>190.79999999999998</v>
      </c>
      <c r="D177" s="100">
        <f>MOD(Fuel1.2Ratio[[#This Row],[Oxydizer]],1)</f>
        <v>0.79999999999998295</v>
      </c>
    </row>
    <row r="178" spans="2:4" x14ac:dyDescent="0.35">
      <c r="B178">
        <v>160</v>
      </c>
      <c r="C178">
        <f t="shared" si="3"/>
        <v>192</v>
      </c>
      <c r="D178" s="100">
        <f>MOD(Fuel1.2Ratio[[#This Row],[Oxydizer]],1)</f>
        <v>0</v>
      </c>
    </row>
    <row r="179" spans="2:4" x14ac:dyDescent="0.35">
      <c r="B179">
        <v>161</v>
      </c>
      <c r="C179">
        <f t="shared" si="3"/>
        <v>193.2</v>
      </c>
      <c r="D179" s="100">
        <f>MOD(Fuel1.2Ratio[[#This Row],[Oxydizer]],1)</f>
        <v>0.19999999999998863</v>
      </c>
    </row>
    <row r="180" spans="2:4" x14ac:dyDescent="0.35">
      <c r="B180">
        <v>162</v>
      </c>
      <c r="C180">
        <f t="shared" si="3"/>
        <v>194.4</v>
      </c>
      <c r="D180" s="100">
        <f>MOD(Fuel1.2Ratio[[#This Row],[Oxydizer]],1)</f>
        <v>0.40000000000000568</v>
      </c>
    </row>
    <row r="181" spans="2:4" x14ac:dyDescent="0.35">
      <c r="B181">
        <v>163</v>
      </c>
      <c r="C181">
        <f t="shared" si="3"/>
        <v>195.6</v>
      </c>
      <c r="D181" s="100">
        <f>MOD(Fuel1.2Ratio[[#This Row],[Oxydizer]],1)</f>
        <v>0.59999999999999432</v>
      </c>
    </row>
    <row r="182" spans="2:4" x14ac:dyDescent="0.35">
      <c r="B182">
        <v>164</v>
      </c>
      <c r="C182">
        <f t="shared" si="3"/>
        <v>196.79999999999998</v>
      </c>
      <c r="D182" s="100">
        <f>MOD(Fuel1.2Ratio[[#This Row],[Oxydizer]],1)</f>
        <v>0.79999999999998295</v>
      </c>
    </row>
    <row r="183" spans="2:4" x14ac:dyDescent="0.35">
      <c r="B183">
        <v>165</v>
      </c>
      <c r="C183">
        <f t="shared" si="3"/>
        <v>198</v>
      </c>
      <c r="D183" s="100">
        <f>MOD(Fuel1.2Ratio[[#This Row],[Oxydizer]],1)</f>
        <v>0</v>
      </c>
    </row>
    <row r="184" spans="2:4" x14ac:dyDescent="0.35">
      <c r="B184">
        <v>166</v>
      </c>
      <c r="C184">
        <f t="shared" si="3"/>
        <v>199.2</v>
      </c>
      <c r="D184" s="100">
        <f>MOD(Fuel1.2Ratio[[#This Row],[Oxydizer]],1)</f>
        <v>0.19999999999998863</v>
      </c>
    </row>
    <row r="185" spans="2:4" x14ac:dyDescent="0.35">
      <c r="B185">
        <v>167</v>
      </c>
      <c r="C185">
        <f t="shared" si="3"/>
        <v>200.4</v>
      </c>
      <c r="D185" s="100">
        <f>MOD(Fuel1.2Ratio[[#This Row],[Oxydizer]],1)</f>
        <v>0.40000000000000568</v>
      </c>
    </row>
    <row r="186" spans="2:4" x14ac:dyDescent="0.35">
      <c r="B186">
        <v>168</v>
      </c>
      <c r="C186">
        <f t="shared" si="3"/>
        <v>201.6</v>
      </c>
      <c r="D186" s="100">
        <f>MOD(Fuel1.2Ratio[[#This Row],[Oxydizer]],1)</f>
        <v>0.59999999999999432</v>
      </c>
    </row>
    <row r="187" spans="2:4" x14ac:dyDescent="0.35">
      <c r="B187">
        <v>169</v>
      </c>
      <c r="C187">
        <f t="shared" si="3"/>
        <v>202.79999999999998</v>
      </c>
      <c r="D187" s="100">
        <f>MOD(Fuel1.2Ratio[[#This Row],[Oxydizer]],1)</f>
        <v>0.79999999999998295</v>
      </c>
    </row>
    <row r="188" spans="2:4" x14ac:dyDescent="0.35">
      <c r="B188">
        <v>170</v>
      </c>
      <c r="C188">
        <f t="shared" si="3"/>
        <v>204</v>
      </c>
      <c r="D188" s="100">
        <f>MOD(Fuel1.2Ratio[[#This Row],[Oxydizer]],1)</f>
        <v>0</v>
      </c>
    </row>
    <row r="189" spans="2:4" x14ac:dyDescent="0.35">
      <c r="B189">
        <v>171</v>
      </c>
      <c r="C189">
        <f t="shared" si="3"/>
        <v>205.2</v>
      </c>
      <c r="D189" s="100">
        <f>MOD(Fuel1.2Ratio[[#This Row],[Oxydizer]],1)</f>
        <v>0.19999999999998863</v>
      </c>
    </row>
    <row r="190" spans="2:4" x14ac:dyDescent="0.35">
      <c r="B190">
        <v>172</v>
      </c>
      <c r="C190">
        <f t="shared" si="3"/>
        <v>206.4</v>
      </c>
      <c r="D190" s="100">
        <f>MOD(Fuel1.2Ratio[[#This Row],[Oxydizer]],1)</f>
        <v>0.40000000000000568</v>
      </c>
    </row>
    <row r="191" spans="2:4" x14ac:dyDescent="0.35">
      <c r="B191">
        <v>173</v>
      </c>
      <c r="C191">
        <f t="shared" si="3"/>
        <v>207.6</v>
      </c>
      <c r="D191" s="100">
        <f>MOD(Fuel1.2Ratio[[#This Row],[Oxydizer]],1)</f>
        <v>0.59999999999999432</v>
      </c>
    </row>
    <row r="192" spans="2:4" x14ac:dyDescent="0.35">
      <c r="B192">
        <v>174</v>
      </c>
      <c r="C192">
        <f t="shared" si="3"/>
        <v>208.79999999999998</v>
      </c>
      <c r="D192" s="100">
        <f>MOD(Fuel1.2Ratio[[#This Row],[Oxydizer]],1)</f>
        <v>0.79999999999998295</v>
      </c>
    </row>
    <row r="193" spans="2:4" x14ac:dyDescent="0.35">
      <c r="B193">
        <v>175</v>
      </c>
      <c r="C193">
        <f t="shared" si="3"/>
        <v>210</v>
      </c>
      <c r="D193" s="100">
        <f>MOD(Fuel1.2Ratio[[#This Row],[Oxydizer]],1)</f>
        <v>0</v>
      </c>
    </row>
    <row r="194" spans="2:4" x14ac:dyDescent="0.35">
      <c r="B194">
        <v>176</v>
      </c>
      <c r="C194">
        <f t="shared" si="3"/>
        <v>211.2</v>
      </c>
      <c r="D194" s="100">
        <f>MOD(Fuel1.2Ratio[[#This Row],[Oxydizer]],1)</f>
        <v>0.19999999999998863</v>
      </c>
    </row>
    <row r="195" spans="2:4" x14ac:dyDescent="0.35">
      <c r="B195">
        <v>177</v>
      </c>
      <c r="C195">
        <f t="shared" si="3"/>
        <v>212.4</v>
      </c>
      <c r="D195" s="100">
        <f>MOD(Fuel1.2Ratio[[#This Row],[Oxydizer]],1)</f>
        <v>0.40000000000000568</v>
      </c>
    </row>
    <row r="196" spans="2:4" x14ac:dyDescent="0.35">
      <c r="B196">
        <v>178</v>
      </c>
      <c r="C196">
        <f t="shared" si="3"/>
        <v>213.6</v>
      </c>
      <c r="D196" s="100">
        <f>MOD(Fuel1.2Ratio[[#This Row],[Oxydizer]],1)</f>
        <v>0.59999999999999432</v>
      </c>
    </row>
    <row r="197" spans="2:4" x14ac:dyDescent="0.35">
      <c r="B197">
        <v>179</v>
      </c>
      <c r="C197">
        <f t="shared" si="3"/>
        <v>214.79999999999998</v>
      </c>
      <c r="D197" s="100">
        <f>MOD(Fuel1.2Ratio[[#This Row],[Oxydizer]],1)</f>
        <v>0.79999999999998295</v>
      </c>
    </row>
    <row r="198" spans="2:4" x14ac:dyDescent="0.35">
      <c r="B198">
        <v>180</v>
      </c>
      <c r="C198">
        <f t="shared" si="3"/>
        <v>216</v>
      </c>
      <c r="D198" s="100">
        <f>MOD(Fuel1.2Ratio[[#This Row],[Oxydizer]],1)</f>
        <v>0</v>
      </c>
    </row>
    <row r="199" spans="2:4" x14ac:dyDescent="0.35">
      <c r="B199">
        <v>181</v>
      </c>
      <c r="C199">
        <f t="shared" si="3"/>
        <v>217.2</v>
      </c>
      <c r="D199" s="100">
        <f>MOD(Fuel1.2Ratio[[#This Row],[Oxydizer]],1)</f>
        <v>0.19999999999998863</v>
      </c>
    </row>
    <row r="200" spans="2:4" x14ac:dyDescent="0.35">
      <c r="B200">
        <v>182</v>
      </c>
      <c r="C200">
        <f t="shared" si="3"/>
        <v>218.4</v>
      </c>
      <c r="D200" s="100">
        <f>MOD(Fuel1.2Ratio[[#This Row],[Oxydizer]],1)</f>
        <v>0.40000000000000568</v>
      </c>
    </row>
    <row r="201" spans="2:4" x14ac:dyDescent="0.35">
      <c r="B201">
        <v>183</v>
      </c>
      <c r="C201">
        <f t="shared" si="3"/>
        <v>219.6</v>
      </c>
      <c r="D201" s="100">
        <f>MOD(Fuel1.2Ratio[[#This Row],[Oxydizer]],1)</f>
        <v>0.59999999999999432</v>
      </c>
    </row>
    <row r="202" spans="2:4" x14ac:dyDescent="0.35">
      <c r="B202">
        <v>184</v>
      </c>
      <c r="C202">
        <f t="shared" si="3"/>
        <v>220.79999999999998</v>
      </c>
      <c r="D202" s="100">
        <f>MOD(Fuel1.2Ratio[[#This Row],[Oxydizer]],1)</f>
        <v>0.79999999999998295</v>
      </c>
    </row>
    <row r="203" spans="2:4" x14ac:dyDescent="0.35">
      <c r="B203">
        <v>185</v>
      </c>
      <c r="C203">
        <f t="shared" si="3"/>
        <v>222</v>
      </c>
      <c r="D203" s="100">
        <f>MOD(Fuel1.2Ratio[[#This Row],[Oxydizer]],1)</f>
        <v>0</v>
      </c>
    </row>
    <row r="204" spans="2:4" x14ac:dyDescent="0.35">
      <c r="B204">
        <v>186</v>
      </c>
      <c r="C204">
        <f t="shared" si="3"/>
        <v>223.2</v>
      </c>
      <c r="D204" s="100">
        <f>MOD(Fuel1.2Ratio[[#This Row],[Oxydizer]],1)</f>
        <v>0.19999999999998863</v>
      </c>
    </row>
    <row r="205" spans="2:4" x14ac:dyDescent="0.35">
      <c r="B205">
        <v>187</v>
      </c>
      <c r="C205">
        <f t="shared" si="3"/>
        <v>224.4</v>
      </c>
      <c r="D205" s="100">
        <f>MOD(Fuel1.2Ratio[[#This Row],[Oxydizer]],1)</f>
        <v>0.40000000000000568</v>
      </c>
    </row>
    <row r="206" spans="2:4" x14ac:dyDescent="0.35">
      <c r="B206">
        <v>188</v>
      </c>
      <c r="C206">
        <f t="shared" si="3"/>
        <v>225.6</v>
      </c>
      <c r="D206" s="100">
        <f>MOD(Fuel1.2Ratio[[#This Row],[Oxydizer]],1)</f>
        <v>0.59999999999999432</v>
      </c>
    </row>
    <row r="207" spans="2:4" x14ac:dyDescent="0.35">
      <c r="B207">
        <v>189</v>
      </c>
      <c r="C207">
        <f t="shared" si="3"/>
        <v>226.79999999999998</v>
      </c>
      <c r="D207" s="100">
        <f>MOD(Fuel1.2Ratio[[#This Row],[Oxydizer]],1)</f>
        <v>0.79999999999998295</v>
      </c>
    </row>
    <row r="208" spans="2:4" x14ac:dyDescent="0.35">
      <c r="B208">
        <v>190</v>
      </c>
      <c r="C208">
        <f t="shared" si="3"/>
        <v>228</v>
      </c>
      <c r="D208" s="100">
        <f>MOD(Fuel1.2Ratio[[#This Row],[Oxydizer]],1)</f>
        <v>0</v>
      </c>
    </row>
    <row r="209" spans="2:4" x14ac:dyDescent="0.35">
      <c r="B209">
        <v>191</v>
      </c>
      <c r="C209">
        <f t="shared" si="3"/>
        <v>229.2</v>
      </c>
      <c r="D209" s="100">
        <f>MOD(Fuel1.2Ratio[[#This Row],[Oxydizer]],1)</f>
        <v>0.19999999999998863</v>
      </c>
    </row>
    <row r="210" spans="2:4" x14ac:dyDescent="0.35">
      <c r="B210">
        <v>192</v>
      </c>
      <c r="C210">
        <f t="shared" si="3"/>
        <v>230.39999999999998</v>
      </c>
      <c r="D210" s="100">
        <f>MOD(Fuel1.2Ratio[[#This Row],[Oxydizer]],1)</f>
        <v>0.39999999999997726</v>
      </c>
    </row>
    <row r="211" spans="2:4" x14ac:dyDescent="0.35">
      <c r="B211">
        <v>193</v>
      </c>
      <c r="C211">
        <f t="shared" si="3"/>
        <v>231.6</v>
      </c>
      <c r="D211" s="100">
        <f>MOD(Fuel1.2Ratio[[#This Row],[Oxydizer]],1)</f>
        <v>0.59999999999999432</v>
      </c>
    </row>
    <row r="212" spans="2:4" x14ac:dyDescent="0.35">
      <c r="B212">
        <v>194</v>
      </c>
      <c r="C212">
        <f t="shared" ref="C212:C275" si="4">B212*1.2</f>
        <v>232.79999999999998</v>
      </c>
      <c r="D212" s="100">
        <f>MOD(Fuel1.2Ratio[[#This Row],[Oxydizer]],1)</f>
        <v>0.79999999999998295</v>
      </c>
    </row>
    <row r="213" spans="2:4" x14ac:dyDescent="0.35">
      <c r="B213">
        <v>195</v>
      </c>
      <c r="C213">
        <f t="shared" si="4"/>
        <v>234</v>
      </c>
      <c r="D213" s="100">
        <f>MOD(Fuel1.2Ratio[[#This Row],[Oxydizer]],1)</f>
        <v>0</v>
      </c>
    </row>
    <row r="214" spans="2:4" x14ac:dyDescent="0.35">
      <c r="B214">
        <v>196</v>
      </c>
      <c r="C214">
        <f t="shared" si="4"/>
        <v>235.2</v>
      </c>
      <c r="D214" s="100">
        <f>MOD(Fuel1.2Ratio[[#This Row],[Oxydizer]],1)</f>
        <v>0.19999999999998863</v>
      </c>
    </row>
    <row r="215" spans="2:4" x14ac:dyDescent="0.35">
      <c r="B215">
        <v>197</v>
      </c>
      <c r="C215">
        <f t="shared" si="4"/>
        <v>236.39999999999998</v>
      </c>
      <c r="D215" s="100">
        <f>MOD(Fuel1.2Ratio[[#This Row],[Oxydizer]],1)</f>
        <v>0.39999999999997726</v>
      </c>
    </row>
    <row r="216" spans="2:4" x14ac:dyDescent="0.35">
      <c r="B216">
        <v>198</v>
      </c>
      <c r="C216">
        <f t="shared" si="4"/>
        <v>237.6</v>
      </c>
      <c r="D216" s="100">
        <f>MOD(Fuel1.2Ratio[[#This Row],[Oxydizer]],1)</f>
        <v>0.59999999999999432</v>
      </c>
    </row>
    <row r="217" spans="2:4" x14ac:dyDescent="0.35">
      <c r="B217">
        <v>199</v>
      </c>
      <c r="C217">
        <f t="shared" si="4"/>
        <v>238.79999999999998</v>
      </c>
      <c r="D217" s="100">
        <f>MOD(Fuel1.2Ratio[[#This Row],[Oxydizer]],1)</f>
        <v>0.79999999999998295</v>
      </c>
    </row>
    <row r="218" spans="2:4" x14ac:dyDescent="0.35">
      <c r="B218">
        <v>200</v>
      </c>
      <c r="C218">
        <f t="shared" si="4"/>
        <v>240</v>
      </c>
      <c r="D218" s="100">
        <f>MOD(Fuel1.2Ratio[[#This Row],[Oxydizer]],1)</f>
        <v>0</v>
      </c>
    </row>
    <row r="219" spans="2:4" x14ac:dyDescent="0.35">
      <c r="B219">
        <v>201</v>
      </c>
      <c r="C219">
        <f t="shared" si="4"/>
        <v>241.2</v>
      </c>
      <c r="D219" s="100">
        <f>MOD(Fuel1.2Ratio[[#This Row],[Oxydizer]],1)</f>
        <v>0.19999999999998863</v>
      </c>
    </row>
    <row r="220" spans="2:4" x14ac:dyDescent="0.35">
      <c r="B220">
        <v>202</v>
      </c>
      <c r="C220">
        <f t="shared" si="4"/>
        <v>242.39999999999998</v>
      </c>
      <c r="D220" s="100">
        <f>MOD(Fuel1.2Ratio[[#This Row],[Oxydizer]],1)</f>
        <v>0.39999999999997726</v>
      </c>
    </row>
    <row r="221" spans="2:4" x14ac:dyDescent="0.35">
      <c r="B221">
        <v>203</v>
      </c>
      <c r="C221">
        <f t="shared" si="4"/>
        <v>243.6</v>
      </c>
      <c r="D221" s="100">
        <f>MOD(Fuel1.2Ratio[[#This Row],[Oxydizer]],1)</f>
        <v>0.59999999999999432</v>
      </c>
    </row>
    <row r="222" spans="2:4" x14ac:dyDescent="0.35">
      <c r="B222">
        <v>204</v>
      </c>
      <c r="C222">
        <f t="shared" si="4"/>
        <v>244.79999999999998</v>
      </c>
      <c r="D222" s="100">
        <f>MOD(Fuel1.2Ratio[[#This Row],[Oxydizer]],1)</f>
        <v>0.79999999999998295</v>
      </c>
    </row>
    <row r="223" spans="2:4" x14ac:dyDescent="0.35">
      <c r="B223">
        <v>205</v>
      </c>
      <c r="C223">
        <f t="shared" si="4"/>
        <v>246</v>
      </c>
      <c r="D223" s="100">
        <f>MOD(Fuel1.2Ratio[[#This Row],[Oxydizer]],1)</f>
        <v>0</v>
      </c>
    </row>
    <row r="224" spans="2:4" x14ac:dyDescent="0.35">
      <c r="B224">
        <v>206</v>
      </c>
      <c r="C224">
        <f t="shared" si="4"/>
        <v>247.2</v>
      </c>
      <c r="D224" s="100">
        <f>MOD(Fuel1.2Ratio[[#This Row],[Oxydizer]],1)</f>
        <v>0.19999999999998863</v>
      </c>
    </row>
    <row r="225" spans="2:4" x14ac:dyDescent="0.35">
      <c r="B225">
        <v>207</v>
      </c>
      <c r="C225">
        <f t="shared" si="4"/>
        <v>248.39999999999998</v>
      </c>
      <c r="D225" s="100">
        <f>MOD(Fuel1.2Ratio[[#This Row],[Oxydizer]],1)</f>
        <v>0.39999999999997726</v>
      </c>
    </row>
    <row r="226" spans="2:4" x14ac:dyDescent="0.35">
      <c r="B226">
        <v>208</v>
      </c>
      <c r="C226">
        <f t="shared" si="4"/>
        <v>249.6</v>
      </c>
      <c r="D226" s="100">
        <f>MOD(Fuel1.2Ratio[[#This Row],[Oxydizer]],1)</f>
        <v>0.59999999999999432</v>
      </c>
    </row>
    <row r="227" spans="2:4" x14ac:dyDescent="0.35">
      <c r="B227">
        <v>209</v>
      </c>
      <c r="C227">
        <f t="shared" si="4"/>
        <v>250.79999999999998</v>
      </c>
      <c r="D227" s="100">
        <f>MOD(Fuel1.2Ratio[[#This Row],[Oxydizer]],1)</f>
        <v>0.79999999999998295</v>
      </c>
    </row>
    <row r="228" spans="2:4" x14ac:dyDescent="0.35">
      <c r="B228">
        <v>210</v>
      </c>
      <c r="C228">
        <f t="shared" si="4"/>
        <v>252</v>
      </c>
      <c r="D228" s="100">
        <f>MOD(Fuel1.2Ratio[[#This Row],[Oxydizer]],1)</f>
        <v>0</v>
      </c>
    </row>
    <row r="229" spans="2:4" x14ac:dyDescent="0.35">
      <c r="B229">
        <v>211</v>
      </c>
      <c r="C229">
        <f t="shared" si="4"/>
        <v>253.2</v>
      </c>
      <c r="D229" s="100">
        <f>MOD(Fuel1.2Ratio[[#This Row],[Oxydizer]],1)</f>
        <v>0.19999999999998863</v>
      </c>
    </row>
    <row r="230" spans="2:4" x14ac:dyDescent="0.35">
      <c r="B230">
        <v>212</v>
      </c>
      <c r="C230">
        <f t="shared" si="4"/>
        <v>254.39999999999998</v>
      </c>
      <c r="D230" s="100">
        <f>MOD(Fuel1.2Ratio[[#This Row],[Oxydizer]],1)</f>
        <v>0.39999999999997726</v>
      </c>
    </row>
    <row r="231" spans="2:4" x14ac:dyDescent="0.35">
      <c r="B231">
        <v>213</v>
      </c>
      <c r="C231">
        <f t="shared" si="4"/>
        <v>255.6</v>
      </c>
      <c r="D231" s="100">
        <f>MOD(Fuel1.2Ratio[[#This Row],[Oxydizer]],1)</f>
        <v>0.59999999999999432</v>
      </c>
    </row>
    <row r="232" spans="2:4" x14ac:dyDescent="0.35">
      <c r="B232">
        <v>214</v>
      </c>
      <c r="C232">
        <f t="shared" si="4"/>
        <v>256.8</v>
      </c>
      <c r="D232" s="100">
        <f>MOD(Fuel1.2Ratio[[#This Row],[Oxydizer]],1)</f>
        <v>0.80000000000001137</v>
      </c>
    </row>
    <row r="233" spans="2:4" x14ac:dyDescent="0.35">
      <c r="B233">
        <v>215</v>
      </c>
      <c r="C233">
        <f t="shared" si="4"/>
        <v>258</v>
      </c>
      <c r="D233" s="100">
        <f>MOD(Fuel1.2Ratio[[#This Row],[Oxydizer]],1)</f>
        <v>0</v>
      </c>
    </row>
    <row r="234" spans="2:4" x14ac:dyDescent="0.35">
      <c r="B234">
        <v>216</v>
      </c>
      <c r="C234">
        <f t="shared" si="4"/>
        <v>259.2</v>
      </c>
      <c r="D234" s="100">
        <f>MOD(Fuel1.2Ratio[[#This Row],[Oxydizer]],1)</f>
        <v>0.19999999999998863</v>
      </c>
    </row>
    <row r="235" spans="2:4" x14ac:dyDescent="0.35">
      <c r="B235">
        <v>217</v>
      </c>
      <c r="C235">
        <f t="shared" si="4"/>
        <v>260.39999999999998</v>
      </c>
      <c r="D235" s="100">
        <f>MOD(Fuel1.2Ratio[[#This Row],[Oxydizer]],1)</f>
        <v>0.39999999999997726</v>
      </c>
    </row>
    <row r="236" spans="2:4" x14ac:dyDescent="0.35">
      <c r="B236">
        <v>218</v>
      </c>
      <c r="C236">
        <f t="shared" si="4"/>
        <v>261.59999999999997</v>
      </c>
      <c r="D236" s="100">
        <f>MOD(Fuel1.2Ratio[[#This Row],[Oxydizer]],1)</f>
        <v>0.59999999999996589</v>
      </c>
    </row>
    <row r="237" spans="2:4" x14ac:dyDescent="0.35">
      <c r="B237">
        <v>219</v>
      </c>
      <c r="C237">
        <f t="shared" si="4"/>
        <v>262.8</v>
      </c>
      <c r="D237" s="100">
        <f>MOD(Fuel1.2Ratio[[#This Row],[Oxydizer]],1)</f>
        <v>0.80000000000001137</v>
      </c>
    </row>
    <row r="238" spans="2:4" x14ac:dyDescent="0.35">
      <c r="B238">
        <v>220</v>
      </c>
      <c r="C238">
        <f t="shared" si="4"/>
        <v>264</v>
      </c>
      <c r="D238" s="100">
        <f>MOD(Fuel1.2Ratio[[#This Row],[Oxydizer]],1)</f>
        <v>0</v>
      </c>
    </row>
    <row r="239" spans="2:4" x14ac:dyDescent="0.35">
      <c r="B239">
        <v>221</v>
      </c>
      <c r="C239">
        <f t="shared" si="4"/>
        <v>265.2</v>
      </c>
      <c r="D239" s="100">
        <f>MOD(Fuel1.2Ratio[[#This Row],[Oxydizer]],1)</f>
        <v>0.19999999999998863</v>
      </c>
    </row>
    <row r="240" spans="2:4" x14ac:dyDescent="0.35">
      <c r="B240">
        <v>222</v>
      </c>
      <c r="C240">
        <f t="shared" si="4"/>
        <v>266.39999999999998</v>
      </c>
      <c r="D240" s="100">
        <f>MOD(Fuel1.2Ratio[[#This Row],[Oxydizer]],1)</f>
        <v>0.39999999999997726</v>
      </c>
    </row>
    <row r="241" spans="2:4" x14ac:dyDescent="0.35">
      <c r="B241">
        <v>223</v>
      </c>
      <c r="C241">
        <f t="shared" si="4"/>
        <v>267.59999999999997</v>
      </c>
      <c r="D241" s="100">
        <f>MOD(Fuel1.2Ratio[[#This Row],[Oxydizer]],1)</f>
        <v>0.59999999999996589</v>
      </c>
    </row>
    <row r="242" spans="2:4" x14ac:dyDescent="0.35">
      <c r="B242">
        <v>224</v>
      </c>
      <c r="C242">
        <f t="shared" si="4"/>
        <v>268.8</v>
      </c>
      <c r="D242" s="100">
        <f>MOD(Fuel1.2Ratio[[#This Row],[Oxydizer]],1)</f>
        <v>0.80000000000001137</v>
      </c>
    </row>
    <row r="243" spans="2:4" x14ac:dyDescent="0.35">
      <c r="B243">
        <v>225</v>
      </c>
      <c r="C243">
        <f t="shared" si="4"/>
        <v>270</v>
      </c>
      <c r="D243" s="100">
        <f>MOD(Fuel1.2Ratio[[#This Row],[Oxydizer]],1)</f>
        <v>0</v>
      </c>
    </row>
    <row r="244" spans="2:4" x14ac:dyDescent="0.35">
      <c r="B244">
        <v>226</v>
      </c>
      <c r="C244">
        <f t="shared" si="4"/>
        <v>271.2</v>
      </c>
      <c r="D244" s="100">
        <f>MOD(Fuel1.2Ratio[[#This Row],[Oxydizer]],1)</f>
        <v>0.19999999999998863</v>
      </c>
    </row>
    <row r="245" spans="2:4" x14ac:dyDescent="0.35">
      <c r="B245">
        <v>227</v>
      </c>
      <c r="C245">
        <f t="shared" si="4"/>
        <v>272.39999999999998</v>
      </c>
      <c r="D245" s="100">
        <f>MOD(Fuel1.2Ratio[[#This Row],[Oxydizer]],1)</f>
        <v>0.39999999999997726</v>
      </c>
    </row>
    <row r="246" spans="2:4" x14ac:dyDescent="0.35">
      <c r="B246">
        <v>228</v>
      </c>
      <c r="C246">
        <f t="shared" si="4"/>
        <v>273.59999999999997</v>
      </c>
      <c r="D246" s="100">
        <f>MOD(Fuel1.2Ratio[[#This Row],[Oxydizer]],1)</f>
        <v>0.59999999999996589</v>
      </c>
    </row>
    <row r="247" spans="2:4" x14ac:dyDescent="0.35">
      <c r="B247">
        <v>229</v>
      </c>
      <c r="C247">
        <f t="shared" si="4"/>
        <v>274.8</v>
      </c>
      <c r="D247" s="100">
        <f>MOD(Fuel1.2Ratio[[#This Row],[Oxydizer]],1)</f>
        <v>0.80000000000001137</v>
      </c>
    </row>
    <row r="248" spans="2:4" x14ac:dyDescent="0.35">
      <c r="B248">
        <v>230</v>
      </c>
      <c r="C248">
        <f t="shared" si="4"/>
        <v>276</v>
      </c>
      <c r="D248" s="100">
        <f>MOD(Fuel1.2Ratio[[#This Row],[Oxydizer]],1)</f>
        <v>0</v>
      </c>
    </row>
    <row r="249" spans="2:4" x14ac:dyDescent="0.35">
      <c r="B249">
        <v>231</v>
      </c>
      <c r="C249">
        <f t="shared" si="4"/>
        <v>277.2</v>
      </c>
      <c r="D249" s="100">
        <f>MOD(Fuel1.2Ratio[[#This Row],[Oxydizer]],1)</f>
        <v>0.19999999999998863</v>
      </c>
    </row>
    <row r="250" spans="2:4" x14ac:dyDescent="0.35">
      <c r="B250">
        <v>232</v>
      </c>
      <c r="C250">
        <f t="shared" si="4"/>
        <v>278.39999999999998</v>
      </c>
      <c r="D250" s="100">
        <f>MOD(Fuel1.2Ratio[[#This Row],[Oxydizer]],1)</f>
        <v>0.39999999999997726</v>
      </c>
    </row>
    <row r="251" spans="2:4" x14ac:dyDescent="0.35">
      <c r="B251">
        <v>233</v>
      </c>
      <c r="C251">
        <f t="shared" si="4"/>
        <v>279.59999999999997</v>
      </c>
      <c r="D251" s="100">
        <f>MOD(Fuel1.2Ratio[[#This Row],[Oxydizer]],1)</f>
        <v>0.59999999999996589</v>
      </c>
    </row>
    <row r="252" spans="2:4" x14ac:dyDescent="0.35">
      <c r="B252">
        <v>234</v>
      </c>
      <c r="C252">
        <f t="shared" si="4"/>
        <v>280.8</v>
      </c>
      <c r="D252" s="100">
        <f>MOD(Fuel1.2Ratio[[#This Row],[Oxydizer]],1)</f>
        <v>0.80000000000001137</v>
      </c>
    </row>
    <row r="253" spans="2:4" x14ac:dyDescent="0.35">
      <c r="B253">
        <v>235</v>
      </c>
      <c r="C253">
        <f t="shared" si="4"/>
        <v>282</v>
      </c>
      <c r="D253" s="100">
        <f>MOD(Fuel1.2Ratio[[#This Row],[Oxydizer]],1)</f>
        <v>0</v>
      </c>
    </row>
    <row r="254" spans="2:4" x14ac:dyDescent="0.35">
      <c r="B254">
        <v>236</v>
      </c>
      <c r="C254">
        <f t="shared" si="4"/>
        <v>283.2</v>
      </c>
      <c r="D254" s="100">
        <f>MOD(Fuel1.2Ratio[[#This Row],[Oxydizer]],1)</f>
        <v>0.19999999999998863</v>
      </c>
    </row>
    <row r="255" spans="2:4" x14ac:dyDescent="0.35">
      <c r="B255">
        <v>237</v>
      </c>
      <c r="C255">
        <f t="shared" si="4"/>
        <v>284.39999999999998</v>
      </c>
      <c r="D255" s="100">
        <f>MOD(Fuel1.2Ratio[[#This Row],[Oxydizer]],1)</f>
        <v>0.39999999999997726</v>
      </c>
    </row>
    <row r="256" spans="2:4" x14ac:dyDescent="0.35">
      <c r="B256">
        <v>238</v>
      </c>
      <c r="C256">
        <f t="shared" si="4"/>
        <v>285.59999999999997</v>
      </c>
      <c r="D256" s="100">
        <f>MOD(Fuel1.2Ratio[[#This Row],[Oxydizer]],1)</f>
        <v>0.59999999999996589</v>
      </c>
    </row>
    <row r="257" spans="2:4" x14ac:dyDescent="0.35">
      <c r="B257">
        <v>239</v>
      </c>
      <c r="C257">
        <f t="shared" si="4"/>
        <v>286.8</v>
      </c>
      <c r="D257" s="100">
        <f>MOD(Fuel1.2Ratio[[#This Row],[Oxydizer]],1)</f>
        <v>0.80000000000001137</v>
      </c>
    </row>
    <row r="258" spans="2:4" x14ac:dyDescent="0.35">
      <c r="B258">
        <v>240</v>
      </c>
      <c r="C258">
        <f t="shared" si="4"/>
        <v>288</v>
      </c>
      <c r="D258" s="100">
        <f>MOD(Fuel1.2Ratio[[#This Row],[Oxydizer]],1)</f>
        <v>0</v>
      </c>
    </row>
    <row r="259" spans="2:4" x14ac:dyDescent="0.35">
      <c r="B259">
        <v>241</v>
      </c>
      <c r="C259">
        <f t="shared" si="4"/>
        <v>289.2</v>
      </c>
      <c r="D259" s="100">
        <f>MOD(Fuel1.2Ratio[[#This Row],[Oxydizer]],1)</f>
        <v>0.19999999999998863</v>
      </c>
    </row>
    <row r="260" spans="2:4" x14ac:dyDescent="0.35">
      <c r="B260">
        <v>242</v>
      </c>
      <c r="C260">
        <f t="shared" si="4"/>
        <v>290.39999999999998</v>
      </c>
      <c r="D260" s="100">
        <f>MOD(Fuel1.2Ratio[[#This Row],[Oxydizer]],1)</f>
        <v>0.39999999999997726</v>
      </c>
    </row>
    <row r="261" spans="2:4" x14ac:dyDescent="0.35">
      <c r="B261">
        <v>243</v>
      </c>
      <c r="C261">
        <f t="shared" si="4"/>
        <v>291.59999999999997</v>
      </c>
      <c r="D261" s="100">
        <f>MOD(Fuel1.2Ratio[[#This Row],[Oxydizer]],1)</f>
        <v>0.59999999999996589</v>
      </c>
    </row>
    <row r="262" spans="2:4" x14ac:dyDescent="0.35">
      <c r="B262">
        <v>244</v>
      </c>
      <c r="C262">
        <f t="shared" si="4"/>
        <v>292.8</v>
      </c>
      <c r="D262" s="100">
        <f>MOD(Fuel1.2Ratio[[#This Row],[Oxydizer]],1)</f>
        <v>0.80000000000001137</v>
      </c>
    </row>
    <row r="263" spans="2:4" x14ac:dyDescent="0.35">
      <c r="B263">
        <v>245</v>
      </c>
      <c r="C263">
        <f t="shared" si="4"/>
        <v>294</v>
      </c>
      <c r="D263" s="100">
        <f>MOD(Fuel1.2Ratio[[#This Row],[Oxydizer]],1)</f>
        <v>0</v>
      </c>
    </row>
    <row r="264" spans="2:4" x14ac:dyDescent="0.35">
      <c r="B264">
        <v>246</v>
      </c>
      <c r="C264">
        <f t="shared" si="4"/>
        <v>295.2</v>
      </c>
      <c r="D264" s="100">
        <f>MOD(Fuel1.2Ratio[[#This Row],[Oxydizer]],1)</f>
        <v>0.19999999999998863</v>
      </c>
    </row>
    <row r="265" spans="2:4" x14ac:dyDescent="0.35">
      <c r="B265">
        <v>247</v>
      </c>
      <c r="C265">
        <f t="shared" si="4"/>
        <v>296.39999999999998</v>
      </c>
      <c r="D265" s="100">
        <f>MOD(Fuel1.2Ratio[[#This Row],[Oxydizer]],1)</f>
        <v>0.39999999999997726</v>
      </c>
    </row>
    <row r="266" spans="2:4" x14ac:dyDescent="0.35">
      <c r="B266">
        <v>248</v>
      </c>
      <c r="C266">
        <f t="shared" si="4"/>
        <v>297.59999999999997</v>
      </c>
      <c r="D266" s="100">
        <f>MOD(Fuel1.2Ratio[[#This Row],[Oxydizer]],1)</f>
        <v>0.59999999999996589</v>
      </c>
    </row>
    <row r="267" spans="2:4" x14ac:dyDescent="0.35">
      <c r="B267">
        <v>249</v>
      </c>
      <c r="C267">
        <f t="shared" si="4"/>
        <v>298.8</v>
      </c>
      <c r="D267" s="100">
        <f>MOD(Fuel1.2Ratio[[#This Row],[Oxydizer]],1)</f>
        <v>0.80000000000001137</v>
      </c>
    </row>
    <row r="268" spans="2:4" x14ac:dyDescent="0.35">
      <c r="B268">
        <v>250</v>
      </c>
      <c r="C268">
        <f t="shared" si="4"/>
        <v>300</v>
      </c>
      <c r="D268" s="100">
        <f>MOD(Fuel1.2Ratio[[#This Row],[Oxydizer]],1)</f>
        <v>0</v>
      </c>
    </row>
    <row r="269" spans="2:4" x14ac:dyDescent="0.35">
      <c r="B269">
        <v>251</v>
      </c>
      <c r="C269">
        <f t="shared" si="4"/>
        <v>301.2</v>
      </c>
      <c r="D269" s="100">
        <f>MOD(Fuel1.2Ratio[[#This Row],[Oxydizer]],1)</f>
        <v>0.19999999999998863</v>
      </c>
    </row>
    <row r="270" spans="2:4" x14ac:dyDescent="0.35">
      <c r="B270">
        <v>252</v>
      </c>
      <c r="C270">
        <f t="shared" si="4"/>
        <v>302.39999999999998</v>
      </c>
      <c r="D270" s="100">
        <f>MOD(Fuel1.2Ratio[[#This Row],[Oxydizer]],1)</f>
        <v>0.39999999999997726</v>
      </c>
    </row>
    <row r="271" spans="2:4" x14ac:dyDescent="0.35">
      <c r="B271">
        <v>253</v>
      </c>
      <c r="C271">
        <f t="shared" si="4"/>
        <v>303.59999999999997</v>
      </c>
      <c r="D271" s="100">
        <f>MOD(Fuel1.2Ratio[[#This Row],[Oxydizer]],1)</f>
        <v>0.59999999999996589</v>
      </c>
    </row>
    <row r="272" spans="2:4" x14ac:dyDescent="0.35">
      <c r="B272">
        <v>254</v>
      </c>
      <c r="C272">
        <f t="shared" si="4"/>
        <v>304.8</v>
      </c>
      <c r="D272" s="100">
        <f>MOD(Fuel1.2Ratio[[#This Row],[Oxydizer]],1)</f>
        <v>0.80000000000001137</v>
      </c>
    </row>
    <row r="273" spans="2:4" x14ac:dyDescent="0.35">
      <c r="B273">
        <v>255</v>
      </c>
      <c r="C273">
        <f t="shared" si="4"/>
        <v>306</v>
      </c>
      <c r="D273" s="100">
        <f>MOD(Fuel1.2Ratio[[#This Row],[Oxydizer]],1)</f>
        <v>0</v>
      </c>
    </row>
    <row r="274" spans="2:4" x14ac:dyDescent="0.35">
      <c r="B274">
        <v>256</v>
      </c>
      <c r="C274">
        <f t="shared" si="4"/>
        <v>307.2</v>
      </c>
      <c r="D274" s="100">
        <f>MOD(Fuel1.2Ratio[[#This Row],[Oxydizer]],1)</f>
        <v>0.19999999999998863</v>
      </c>
    </row>
    <row r="275" spans="2:4" x14ac:dyDescent="0.35">
      <c r="B275">
        <v>257</v>
      </c>
      <c r="C275">
        <f t="shared" si="4"/>
        <v>308.39999999999998</v>
      </c>
      <c r="D275" s="100">
        <f>MOD(Fuel1.2Ratio[[#This Row],[Oxydizer]],1)</f>
        <v>0.39999999999997726</v>
      </c>
    </row>
    <row r="276" spans="2:4" x14ac:dyDescent="0.35">
      <c r="B276">
        <v>258</v>
      </c>
      <c r="C276">
        <f t="shared" ref="C276:C339" si="5">B276*1.2</f>
        <v>309.59999999999997</v>
      </c>
      <c r="D276" s="100">
        <f>MOD(Fuel1.2Ratio[[#This Row],[Oxydizer]],1)</f>
        <v>0.59999999999996589</v>
      </c>
    </row>
    <row r="277" spans="2:4" x14ac:dyDescent="0.35">
      <c r="B277">
        <v>259</v>
      </c>
      <c r="C277">
        <f t="shared" si="5"/>
        <v>310.8</v>
      </c>
      <c r="D277" s="100">
        <f>MOD(Fuel1.2Ratio[[#This Row],[Oxydizer]],1)</f>
        <v>0.80000000000001137</v>
      </c>
    </row>
    <row r="278" spans="2:4" x14ac:dyDescent="0.35">
      <c r="B278">
        <v>260</v>
      </c>
      <c r="C278">
        <f t="shared" si="5"/>
        <v>312</v>
      </c>
      <c r="D278" s="100">
        <f>MOD(Fuel1.2Ratio[[#This Row],[Oxydizer]],1)</f>
        <v>0</v>
      </c>
    </row>
    <row r="279" spans="2:4" x14ac:dyDescent="0.35">
      <c r="B279">
        <v>261</v>
      </c>
      <c r="C279">
        <f t="shared" si="5"/>
        <v>313.2</v>
      </c>
      <c r="D279" s="100">
        <f>MOD(Fuel1.2Ratio[[#This Row],[Oxydizer]],1)</f>
        <v>0.19999999999998863</v>
      </c>
    </row>
    <row r="280" spans="2:4" x14ac:dyDescent="0.35">
      <c r="B280">
        <v>262</v>
      </c>
      <c r="C280">
        <f t="shared" si="5"/>
        <v>314.39999999999998</v>
      </c>
      <c r="D280" s="100">
        <f>MOD(Fuel1.2Ratio[[#This Row],[Oxydizer]],1)</f>
        <v>0.39999999999997726</v>
      </c>
    </row>
    <row r="281" spans="2:4" x14ac:dyDescent="0.35">
      <c r="B281">
        <v>263</v>
      </c>
      <c r="C281">
        <f t="shared" si="5"/>
        <v>315.59999999999997</v>
      </c>
      <c r="D281" s="100">
        <f>MOD(Fuel1.2Ratio[[#This Row],[Oxydizer]],1)</f>
        <v>0.59999999999996589</v>
      </c>
    </row>
    <row r="282" spans="2:4" x14ac:dyDescent="0.35">
      <c r="B282">
        <v>264</v>
      </c>
      <c r="C282">
        <f t="shared" si="5"/>
        <v>316.8</v>
      </c>
      <c r="D282" s="100">
        <f>MOD(Fuel1.2Ratio[[#This Row],[Oxydizer]],1)</f>
        <v>0.80000000000001137</v>
      </c>
    </row>
    <row r="283" spans="2:4" x14ac:dyDescent="0.35">
      <c r="B283">
        <v>265</v>
      </c>
      <c r="C283">
        <f t="shared" si="5"/>
        <v>318</v>
      </c>
      <c r="D283" s="100">
        <f>MOD(Fuel1.2Ratio[[#This Row],[Oxydizer]],1)</f>
        <v>0</v>
      </c>
    </row>
    <row r="284" spans="2:4" x14ac:dyDescent="0.35">
      <c r="B284">
        <v>266</v>
      </c>
      <c r="C284">
        <f t="shared" si="5"/>
        <v>319.2</v>
      </c>
      <c r="D284" s="100">
        <f>MOD(Fuel1.2Ratio[[#This Row],[Oxydizer]],1)</f>
        <v>0.19999999999998863</v>
      </c>
    </row>
    <row r="285" spans="2:4" x14ac:dyDescent="0.35">
      <c r="B285">
        <v>267</v>
      </c>
      <c r="C285">
        <f t="shared" si="5"/>
        <v>320.39999999999998</v>
      </c>
      <c r="D285" s="100">
        <f>MOD(Fuel1.2Ratio[[#This Row],[Oxydizer]],1)</f>
        <v>0.39999999999997726</v>
      </c>
    </row>
    <row r="286" spans="2:4" x14ac:dyDescent="0.35">
      <c r="B286">
        <v>268</v>
      </c>
      <c r="C286">
        <f t="shared" si="5"/>
        <v>321.59999999999997</v>
      </c>
      <c r="D286" s="100">
        <f>MOD(Fuel1.2Ratio[[#This Row],[Oxydizer]],1)</f>
        <v>0.59999999999996589</v>
      </c>
    </row>
    <row r="287" spans="2:4" x14ac:dyDescent="0.35">
      <c r="B287">
        <v>269</v>
      </c>
      <c r="C287">
        <f t="shared" si="5"/>
        <v>322.8</v>
      </c>
      <c r="D287" s="100">
        <f>MOD(Fuel1.2Ratio[[#This Row],[Oxydizer]],1)</f>
        <v>0.80000000000001137</v>
      </c>
    </row>
    <row r="288" spans="2:4" x14ac:dyDescent="0.35">
      <c r="B288">
        <v>270</v>
      </c>
      <c r="C288">
        <f t="shared" si="5"/>
        <v>324</v>
      </c>
      <c r="D288" s="100">
        <f>MOD(Fuel1.2Ratio[[#This Row],[Oxydizer]],1)</f>
        <v>0</v>
      </c>
    </row>
    <row r="289" spans="2:4" x14ac:dyDescent="0.35">
      <c r="B289">
        <v>271</v>
      </c>
      <c r="C289">
        <f t="shared" si="5"/>
        <v>325.2</v>
      </c>
      <c r="D289" s="100">
        <f>MOD(Fuel1.2Ratio[[#This Row],[Oxydizer]],1)</f>
        <v>0.19999999999998863</v>
      </c>
    </row>
    <row r="290" spans="2:4" x14ac:dyDescent="0.35">
      <c r="B290">
        <v>272</v>
      </c>
      <c r="C290">
        <f t="shared" si="5"/>
        <v>326.39999999999998</v>
      </c>
      <c r="D290" s="100">
        <f>MOD(Fuel1.2Ratio[[#This Row],[Oxydizer]],1)</f>
        <v>0.39999999999997726</v>
      </c>
    </row>
    <row r="291" spans="2:4" x14ac:dyDescent="0.35">
      <c r="B291">
        <v>273</v>
      </c>
      <c r="C291">
        <f t="shared" si="5"/>
        <v>327.59999999999997</v>
      </c>
      <c r="D291" s="100">
        <f>MOD(Fuel1.2Ratio[[#This Row],[Oxydizer]],1)</f>
        <v>0.59999999999996589</v>
      </c>
    </row>
    <row r="292" spans="2:4" x14ac:dyDescent="0.35">
      <c r="B292">
        <v>274</v>
      </c>
      <c r="C292">
        <f t="shared" si="5"/>
        <v>328.8</v>
      </c>
      <c r="D292" s="100">
        <f>MOD(Fuel1.2Ratio[[#This Row],[Oxydizer]],1)</f>
        <v>0.80000000000001137</v>
      </c>
    </row>
    <row r="293" spans="2:4" x14ac:dyDescent="0.35">
      <c r="B293">
        <v>275</v>
      </c>
      <c r="C293">
        <f t="shared" si="5"/>
        <v>330</v>
      </c>
      <c r="D293" s="100">
        <f>MOD(Fuel1.2Ratio[[#This Row],[Oxydizer]],1)</f>
        <v>0</v>
      </c>
    </row>
    <row r="294" spans="2:4" x14ac:dyDescent="0.35">
      <c r="B294">
        <v>276</v>
      </c>
      <c r="C294">
        <f t="shared" si="5"/>
        <v>331.2</v>
      </c>
      <c r="D294" s="100">
        <f>MOD(Fuel1.2Ratio[[#This Row],[Oxydizer]],1)</f>
        <v>0.19999999999998863</v>
      </c>
    </row>
    <row r="295" spans="2:4" x14ac:dyDescent="0.35">
      <c r="B295">
        <v>277</v>
      </c>
      <c r="C295">
        <f t="shared" si="5"/>
        <v>332.4</v>
      </c>
      <c r="D295" s="100">
        <f>MOD(Fuel1.2Ratio[[#This Row],[Oxydizer]],1)</f>
        <v>0.39999999999997726</v>
      </c>
    </row>
    <row r="296" spans="2:4" x14ac:dyDescent="0.35">
      <c r="B296">
        <v>278</v>
      </c>
      <c r="C296">
        <f t="shared" si="5"/>
        <v>333.59999999999997</v>
      </c>
      <c r="D296" s="100">
        <f>MOD(Fuel1.2Ratio[[#This Row],[Oxydizer]],1)</f>
        <v>0.59999999999996589</v>
      </c>
    </row>
    <row r="297" spans="2:4" x14ac:dyDescent="0.35">
      <c r="B297">
        <v>279</v>
      </c>
      <c r="C297">
        <f t="shared" si="5"/>
        <v>334.8</v>
      </c>
      <c r="D297" s="100">
        <f>MOD(Fuel1.2Ratio[[#This Row],[Oxydizer]],1)</f>
        <v>0.80000000000001137</v>
      </c>
    </row>
    <row r="298" spans="2:4" x14ac:dyDescent="0.35">
      <c r="B298">
        <v>280</v>
      </c>
      <c r="C298">
        <f t="shared" si="5"/>
        <v>336</v>
      </c>
      <c r="D298" s="100">
        <f>MOD(Fuel1.2Ratio[[#This Row],[Oxydizer]],1)</f>
        <v>0</v>
      </c>
    </row>
    <row r="299" spans="2:4" x14ac:dyDescent="0.35">
      <c r="B299">
        <v>281</v>
      </c>
      <c r="C299">
        <f t="shared" si="5"/>
        <v>337.2</v>
      </c>
      <c r="D299" s="100">
        <f>MOD(Fuel1.2Ratio[[#This Row],[Oxydizer]],1)</f>
        <v>0.19999999999998863</v>
      </c>
    </row>
    <row r="300" spans="2:4" x14ac:dyDescent="0.35">
      <c r="B300">
        <v>282</v>
      </c>
      <c r="C300">
        <f t="shared" si="5"/>
        <v>338.4</v>
      </c>
      <c r="D300" s="100">
        <f>MOD(Fuel1.2Ratio[[#This Row],[Oxydizer]],1)</f>
        <v>0.39999999999997726</v>
      </c>
    </row>
    <row r="301" spans="2:4" x14ac:dyDescent="0.35">
      <c r="B301">
        <v>283</v>
      </c>
      <c r="C301">
        <f t="shared" si="5"/>
        <v>339.59999999999997</v>
      </c>
      <c r="D301" s="100">
        <f>MOD(Fuel1.2Ratio[[#This Row],[Oxydizer]],1)</f>
        <v>0.59999999999996589</v>
      </c>
    </row>
    <row r="302" spans="2:4" x14ac:dyDescent="0.35">
      <c r="B302">
        <v>284</v>
      </c>
      <c r="C302">
        <f t="shared" si="5"/>
        <v>340.8</v>
      </c>
      <c r="D302" s="100">
        <f>MOD(Fuel1.2Ratio[[#This Row],[Oxydizer]],1)</f>
        <v>0.80000000000001137</v>
      </c>
    </row>
    <row r="303" spans="2:4" x14ac:dyDescent="0.35">
      <c r="B303">
        <v>285</v>
      </c>
      <c r="C303">
        <f t="shared" si="5"/>
        <v>342</v>
      </c>
      <c r="D303" s="100">
        <f>MOD(Fuel1.2Ratio[[#This Row],[Oxydizer]],1)</f>
        <v>0</v>
      </c>
    </row>
    <row r="304" spans="2:4" x14ac:dyDescent="0.35">
      <c r="B304">
        <v>286</v>
      </c>
      <c r="C304">
        <f t="shared" si="5"/>
        <v>343.2</v>
      </c>
      <c r="D304" s="100">
        <f>MOD(Fuel1.2Ratio[[#This Row],[Oxydizer]],1)</f>
        <v>0.19999999999998863</v>
      </c>
    </row>
    <row r="305" spans="2:4" x14ac:dyDescent="0.35">
      <c r="B305">
        <v>287</v>
      </c>
      <c r="C305">
        <f t="shared" si="5"/>
        <v>344.4</v>
      </c>
      <c r="D305" s="100">
        <f>MOD(Fuel1.2Ratio[[#This Row],[Oxydizer]],1)</f>
        <v>0.39999999999997726</v>
      </c>
    </row>
    <row r="306" spans="2:4" x14ac:dyDescent="0.35">
      <c r="B306">
        <v>288</v>
      </c>
      <c r="C306">
        <f t="shared" si="5"/>
        <v>345.59999999999997</v>
      </c>
      <c r="D306" s="100">
        <f>MOD(Fuel1.2Ratio[[#This Row],[Oxydizer]],1)</f>
        <v>0.59999999999996589</v>
      </c>
    </row>
    <row r="307" spans="2:4" x14ac:dyDescent="0.35">
      <c r="B307">
        <v>289</v>
      </c>
      <c r="C307">
        <f t="shared" si="5"/>
        <v>346.8</v>
      </c>
      <c r="D307" s="100">
        <f>MOD(Fuel1.2Ratio[[#This Row],[Oxydizer]],1)</f>
        <v>0.80000000000001137</v>
      </c>
    </row>
    <row r="308" spans="2:4" x14ac:dyDescent="0.35">
      <c r="B308">
        <v>290</v>
      </c>
      <c r="C308">
        <f t="shared" si="5"/>
        <v>348</v>
      </c>
      <c r="D308" s="100">
        <f>MOD(Fuel1.2Ratio[[#This Row],[Oxydizer]],1)</f>
        <v>0</v>
      </c>
    </row>
    <row r="309" spans="2:4" x14ac:dyDescent="0.35">
      <c r="B309">
        <v>291</v>
      </c>
      <c r="C309">
        <f t="shared" si="5"/>
        <v>349.2</v>
      </c>
      <c r="D309" s="100">
        <f>MOD(Fuel1.2Ratio[[#This Row],[Oxydizer]],1)</f>
        <v>0.19999999999998863</v>
      </c>
    </row>
    <row r="310" spans="2:4" x14ac:dyDescent="0.35">
      <c r="B310">
        <v>292</v>
      </c>
      <c r="C310">
        <f t="shared" si="5"/>
        <v>350.4</v>
      </c>
      <c r="D310" s="100">
        <f>MOD(Fuel1.2Ratio[[#This Row],[Oxydizer]],1)</f>
        <v>0.39999999999997726</v>
      </c>
    </row>
    <row r="311" spans="2:4" x14ac:dyDescent="0.35">
      <c r="B311">
        <v>293</v>
      </c>
      <c r="C311">
        <f t="shared" si="5"/>
        <v>351.59999999999997</v>
      </c>
      <c r="D311" s="100">
        <f>MOD(Fuel1.2Ratio[[#This Row],[Oxydizer]],1)</f>
        <v>0.59999999999996589</v>
      </c>
    </row>
    <row r="312" spans="2:4" x14ac:dyDescent="0.35">
      <c r="B312">
        <v>294</v>
      </c>
      <c r="C312">
        <f t="shared" si="5"/>
        <v>352.8</v>
      </c>
      <c r="D312" s="100">
        <f>MOD(Fuel1.2Ratio[[#This Row],[Oxydizer]],1)</f>
        <v>0.80000000000001137</v>
      </c>
    </row>
    <row r="313" spans="2:4" x14ac:dyDescent="0.35">
      <c r="B313">
        <v>295</v>
      </c>
      <c r="C313">
        <f t="shared" si="5"/>
        <v>354</v>
      </c>
      <c r="D313" s="100">
        <f>MOD(Fuel1.2Ratio[[#This Row],[Oxydizer]],1)</f>
        <v>0</v>
      </c>
    </row>
    <row r="314" spans="2:4" x14ac:dyDescent="0.35">
      <c r="B314">
        <v>296</v>
      </c>
      <c r="C314">
        <f t="shared" si="5"/>
        <v>355.2</v>
      </c>
      <c r="D314" s="100">
        <f>MOD(Fuel1.2Ratio[[#This Row],[Oxydizer]],1)</f>
        <v>0.19999999999998863</v>
      </c>
    </row>
    <row r="315" spans="2:4" x14ac:dyDescent="0.35">
      <c r="B315">
        <v>297</v>
      </c>
      <c r="C315">
        <f t="shared" si="5"/>
        <v>356.4</v>
      </c>
      <c r="D315" s="100">
        <f>MOD(Fuel1.2Ratio[[#This Row],[Oxydizer]],1)</f>
        <v>0.39999999999997726</v>
      </c>
    </row>
    <row r="316" spans="2:4" x14ac:dyDescent="0.35">
      <c r="B316">
        <v>298</v>
      </c>
      <c r="C316">
        <f t="shared" si="5"/>
        <v>357.59999999999997</v>
      </c>
      <c r="D316" s="100">
        <f>MOD(Fuel1.2Ratio[[#This Row],[Oxydizer]],1)</f>
        <v>0.59999999999996589</v>
      </c>
    </row>
    <row r="317" spans="2:4" x14ac:dyDescent="0.35">
      <c r="B317">
        <v>299</v>
      </c>
      <c r="C317">
        <f t="shared" si="5"/>
        <v>358.8</v>
      </c>
      <c r="D317" s="100">
        <f>MOD(Fuel1.2Ratio[[#This Row],[Oxydizer]],1)</f>
        <v>0.80000000000001137</v>
      </c>
    </row>
    <row r="318" spans="2:4" x14ac:dyDescent="0.35">
      <c r="B318">
        <v>300</v>
      </c>
      <c r="C318">
        <f t="shared" si="5"/>
        <v>360</v>
      </c>
      <c r="D318" s="100">
        <f>MOD(Fuel1.2Ratio[[#This Row],[Oxydizer]],1)</f>
        <v>0</v>
      </c>
    </row>
    <row r="319" spans="2:4" x14ac:dyDescent="0.35">
      <c r="B319">
        <v>301</v>
      </c>
      <c r="C319">
        <f t="shared" si="5"/>
        <v>361.2</v>
      </c>
      <c r="D319" s="100">
        <f>MOD(Fuel1.2Ratio[[#This Row],[Oxydizer]],1)</f>
        <v>0.19999999999998863</v>
      </c>
    </row>
    <row r="320" spans="2:4" x14ac:dyDescent="0.35">
      <c r="B320">
        <v>302</v>
      </c>
      <c r="C320">
        <f t="shared" si="5"/>
        <v>362.4</v>
      </c>
      <c r="D320" s="100">
        <f>MOD(Fuel1.2Ratio[[#This Row],[Oxydizer]],1)</f>
        <v>0.39999999999997726</v>
      </c>
    </row>
    <row r="321" spans="2:4" x14ac:dyDescent="0.35">
      <c r="B321">
        <v>303</v>
      </c>
      <c r="C321">
        <f t="shared" si="5"/>
        <v>363.59999999999997</v>
      </c>
      <c r="D321" s="100">
        <f>MOD(Fuel1.2Ratio[[#This Row],[Oxydizer]],1)</f>
        <v>0.59999999999996589</v>
      </c>
    </row>
    <row r="322" spans="2:4" x14ac:dyDescent="0.35">
      <c r="B322">
        <v>304</v>
      </c>
      <c r="C322">
        <f t="shared" si="5"/>
        <v>364.8</v>
      </c>
      <c r="D322" s="100">
        <f>MOD(Fuel1.2Ratio[[#This Row],[Oxydizer]],1)</f>
        <v>0.80000000000001137</v>
      </c>
    </row>
    <row r="323" spans="2:4" x14ac:dyDescent="0.35">
      <c r="B323">
        <v>305</v>
      </c>
      <c r="C323">
        <f t="shared" si="5"/>
        <v>366</v>
      </c>
      <c r="D323" s="100">
        <f>MOD(Fuel1.2Ratio[[#This Row],[Oxydizer]],1)</f>
        <v>0</v>
      </c>
    </row>
    <row r="324" spans="2:4" x14ac:dyDescent="0.35">
      <c r="B324">
        <v>306</v>
      </c>
      <c r="C324">
        <f t="shared" si="5"/>
        <v>367.2</v>
      </c>
      <c r="D324" s="100">
        <f>MOD(Fuel1.2Ratio[[#This Row],[Oxydizer]],1)</f>
        <v>0.19999999999998863</v>
      </c>
    </row>
    <row r="325" spans="2:4" x14ac:dyDescent="0.35">
      <c r="B325">
        <v>307</v>
      </c>
      <c r="C325">
        <f t="shared" si="5"/>
        <v>368.4</v>
      </c>
      <c r="D325" s="100">
        <f>MOD(Fuel1.2Ratio[[#This Row],[Oxydizer]],1)</f>
        <v>0.39999999999997726</v>
      </c>
    </row>
    <row r="326" spans="2:4" x14ac:dyDescent="0.35">
      <c r="B326">
        <v>308</v>
      </c>
      <c r="C326">
        <f t="shared" si="5"/>
        <v>369.59999999999997</v>
      </c>
      <c r="D326" s="100">
        <f>MOD(Fuel1.2Ratio[[#This Row],[Oxydizer]],1)</f>
        <v>0.59999999999996589</v>
      </c>
    </row>
    <row r="327" spans="2:4" x14ac:dyDescent="0.35">
      <c r="B327">
        <v>309</v>
      </c>
      <c r="C327">
        <f t="shared" si="5"/>
        <v>370.8</v>
      </c>
      <c r="D327" s="100">
        <f>MOD(Fuel1.2Ratio[[#This Row],[Oxydizer]],1)</f>
        <v>0.80000000000001137</v>
      </c>
    </row>
    <row r="328" spans="2:4" x14ac:dyDescent="0.35">
      <c r="B328">
        <v>310</v>
      </c>
      <c r="C328">
        <f t="shared" si="5"/>
        <v>372</v>
      </c>
      <c r="D328" s="100">
        <f>MOD(Fuel1.2Ratio[[#This Row],[Oxydizer]],1)</f>
        <v>0</v>
      </c>
    </row>
    <row r="329" spans="2:4" x14ac:dyDescent="0.35">
      <c r="B329">
        <v>311</v>
      </c>
      <c r="C329">
        <f t="shared" si="5"/>
        <v>373.2</v>
      </c>
      <c r="D329" s="100">
        <f>MOD(Fuel1.2Ratio[[#This Row],[Oxydizer]],1)</f>
        <v>0.19999999999998863</v>
      </c>
    </row>
    <row r="330" spans="2:4" x14ac:dyDescent="0.35">
      <c r="B330">
        <v>312</v>
      </c>
      <c r="C330">
        <f t="shared" si="5"/>
        <v>374.4</v>
      </c>
      <c r="D330" s="100">
        <f>MOD(Fuel1.2Ratio[[#This Row],[Oxydizer]],1)</f>
        <v>0.39999999999997726</v>
      </c>
    </row>
    <row r="331" spans="2:4" x14ac:dyDescent="0.35">
      <c r="B331">
        <v>313</v>
      </c>
      <c r="C331">
        <f t="shared" si="5"/>
        <v>375.59999999999997</v>
      </c>
      <c r="D331" s="100">
        <f>MOD(Fuel1.2Ratio[[#This Row],[Oxydizer]],1)</f>
        <v>0.59999999999996589</v>
      </c>
    </row>
    <row r="332" spans="2:4" x14ac:dyDescent="0.35">
      <c r="B332">
        <v>314</v>
      </c>
      <c r="C332">
        <f t="shared" si="5"/>
        <v>376.8</v>
      </c>
      <c r="D332" s="100">
        <f>MOD(Fuel1.2Ratio[[#This Row],[Oxydizer]],1)</f>
        <v>0.80000000000001137</v>
      </c>
    </row>
    <row r="333" spans="2:4" x14ac:dyDescent="0.35">
      <c r="B333">
        <v>315</v>
      </c>
      <c r="C333">
        <f t="shared" si="5"/>
        <v>378</v>
      </c>
      <c r="D333" s="100">
        <f>MOD(Fuel1.2Ratio[[#This Row],[Oxydizer]],1)</f>
        <v>0</v>
      </c>
    </row>
    <row r="334" spans="2:4" x14ac:dyDescent="0.35">
      <c r="B334">
        <v>316</v>
      </c>
      <c r="C334">
        <f t="shared" si="5"/>
        <v>379.2</v>
      </c>
      <c r="D334" s="100">
        <f>MOD(Fuel1.2Ratio[[#This Row],[Oxydizer]],1)</f>
        <v>0.19999999999998863</v>
      </c>
    </row>
    <row r="335" spans="2:4" x14ac:dyDescent="0.35">
      <c r="B335">
        <v>317</v>
      </c>
      <c r="C335">
        <f t="shared" si="5"/>
        <v>380.4</v>
      </c>
      <c r="D335" s="100">
        <f>MOD(Fuel1.2Ratio[[#This Row],[Oxydizer]],1)</f>
        <v>0.39999999999997726</v>
      </c>
    </row>
    <row r="336" spans="2:4" x14ac:dyDescent="0.35">
      <c r="B336">
        <v>318</v>
      </c>
      <c r="C336">
        <f t="shared" si="5"/>
        <v>381.59999999999997</v>
      </c>
      <c r="D336" s="100">
        <f>MOD(Fuel1.2Ratio[[#This Row],[Oxydizer]],1)</f>
        <v>0.59999999999996589</v>
      </c>
    </row>
    <row r="337" spans="2:4" x14ac:dyDescent="0.35">
      <c r="B337">
        <v>319</v>
      </c>
      <c r="C337">
        <f t="shared" si="5"/>
        <v>382.8</v>
      </c>
      <c r="D337" s="100">
        <f>MOD(Fuel1.2Ratio[[#This Row],[Oxydizer]],1)</f>
        <v>0.80000000000001137</v>
      </c>
    </row>
    <row r="338" spans="2:4" x14ac:dyDescent="0.35">
      <c r="B338">
        <v>320</v>
      </c>
      <c r="C338">
        <f t="shared" si="5"/>
        <v>384</v>
      </c>
      <c r="D338" s="100">
        <f>MOD(Fuel1.2Ratio[[#This Row],[Oxydizer]],1)</f>
        <v>0</v>
      </c>
    </row>
    <row r="339" spans="2:4" x14ac:dyDescent="0.35">
      <c r="B339">
        <v>321</v>
      </c>
      <c r="C339">
        <f t="shared" si="5"/>
        <v>385.2</v>
      </c>
      <c r="D339" s="100">
        <f>MOD(Fuel1.2Ratio[[#This Row],[Oxydizer]],1)</f>
        <v>0.19999999999998863</v>
      </c>
    </row>
    <row r="340" spans="2:4" x14ac:dyDescent="0.35">
      <c r="B340">
        <v>322</v>
      </c>
      <c r="C340">
        <f t="shared" ref="C340:C403" si="6">B340*1.2</f>
        <v>386.4</v>
      </c>
      <c r="D340" s="100">
        <f>MOD(Fuel1.2Ratio[[#This Row],[Oxydizer]],1)</f>
        <v>0.39999999999997726</v>
      </c>
    </row>
    <row r="341" spans="2:4" x14ac:dyDescent="0.35">
      <c r="B341">
        <v>323</v>
      </c>
      <c r="C341">
        <f t="shared" si="6"/>
        <v>387.59999999999997</v>
      </c>
      <c r="D341" s="100">
        <f>MOD(Fuel1.2Ratio[[#This Row],[Oxydizer]],1)</f>
        <v>0.59999999999996589</v>
      </c>
    </row>
    <row r="342" spans="2:4" x14ac:dyDescent="0.35">
      <c r="B342">
        <v>324</v>
      </c>
      <c r="C342">
        <f t="shared" si="6"/>
        <v>388.8</v>
      </c>
      <c r="D342" s="100">
        <f>MOD(Fuel1.2Ratio[[#This Row],[Oxydizer]],1)</f>
        <v>0.80000000000001137</v>
      </c>
    </row>
    <row r="343" spans="2:4" x14ac:dyDescent="0.35">
      <c r="B343">
        <v>325</v>
      </c>
      <c r="C343">
        <f t="shared" si="6"/>
        <v>390</v>
      </c>
      <c r="D343" s="100">
        <f>MOD(Fuel1.2Ratio[[#This Row],[Oxydizer]],1)</f>
        <v>0</v>
      </c>
    </row>
    <row r="344" spans="2:4" x14ac:dyDescent="0.35">
      <c r="B344">
        <v>326</v>
      </c>
      <c r="C344">
        <f t="shared" si="6"/>
        <v>391.2</v>
      </c>
      <c r="D344" s="100">
        <f>MOD(Fuel1.2Ratio[[#This Row],[Oxydizer]],1)</f>
        <v>0.19999999999998863</v>
      </c>
    </row>
    <row r="345" spans="2:4" x14ac:dyDescent="0.35">
      <c r="B345">
        <v>327</v>
      </c>
      <c r="C345">
        <f t="shared" si="6"/>
        <v>392.4</v>
      </c>
      <c r="D345" s="100">
        <f>MOD(Fuel1.2Ratio[[#This Row],[Oxydizer]],1)</f>
        <v>0.39999999999997726</v>
      </c>
    </row>
    <row r="346" spans="2:4" x14ac:dyDescent="0.35">
      <c r="B346">
        <v>328</v>
      </c>
      <c r="C346">
        <f t="shared" si="6"/>
        <v>393.59999999999997</v>
      </c>
      <c r="D346" s="100">
        <f>MOD(Fuel1.2Ratio[[#This Row],[Oxydizer]],1)</f>
        <v>0.59999999999996589</v>
      </c>
    </row>
    <row r="347" spans="2:4" x14ac:dyDescent="0.35">
      <c r="B347">
        <v>329</v>
      </c>
      <c r="C347">
        <f t="shared" si="6"/>
        <v>394.8</v>
      </c>
      <c r="D347" s="100">
        <f>MOD(Fuel1.2Ratio[[#This Row],[Oxydizer]],1)</f>
        <v>0.80000000000001137</v>
      </c>
    </row>
    <row r="348" spans="2:4" x14ac:dyDescent="0.35">
      <c r="B348">
        <v>330</v>
      </c>
      <c r="C348">
        <f t="shared" si="6"/>
        <v>396</v>
      </c>
      <c r="D348" s="100">
        <f>MOD(Fuel1.2Ratio[[#This Row],[Oxydizer]],1)</f>
        <v>0</v>
      </c>
    </row>
    <row r="349" spans="2:4" x14ac:dyDescent="0.35">
      <c r="B349">
        <v>331</v>
      </c>
      <c r="C349">
        <f t="shared" si="6"/>
        <v>397.2</v>
      </c>
      <c r="D349" s="100">
        <f>MOD(Fuel1.2Ratio[[#This Row],[Oxydizer]],1)</f>
        <v>0.19999999999998863</v>
      </c>
    </row>
    <row r="350" spans="2:4" x14ac:dyDescent="0.35">
      <c r="B350">
        <v>332</v>
      </c>
      <c r="C350">
        <f t="shared" si="6"/>
        <v>398.4</v>
      </c>
      <c r="D350" s="100">
        <f>MOD(Fuel1.2Ratio[[#This Row],[Oxydizer]],1)</f>
        <v>0.39999999999997726</v>
      </c>
    </row>
    <row r="351" spans="2:4" x14ac:dyDescent="0.35">
      <c r="B351">
        <v>333</v>
      </c>
      <c r="C351">
        <f t="shared" si="6"/>
        <v>399.59999999999997</v>
      </c>
      <c r="D351" s="100">
        <f>MOD(Fuel1.2Ratio[[#This Row],[Oxydizer]],1)</f>
        <v>0.59999999999996589</v>
      </c>
    </row>
    <row r="352" spans="2:4" x14ac:dyDescent="0.35">
      <c r="B352">
        <v>334</v>
      </c>
      <c r="C352">
        <f t="shared" si="6"/>
        <v>400.8</v>
      </c>
      <c r="D352" s="100">
        <f>MOD(Fuel1.2Ratio[[#This Row],[Oxydizer]],1)</f>
        <v>0.80000000000001137</v>
      </c>
    </row>
    <row r="353" spans="2:4" x14ac:dyDescent="0.35">
      <c r="B353">
        <v>335</v>
      </c>
      <c r="C353">
        <f t="shared" si="6"/>
        <v>402</v>
      </c>
      <c r="D353" s="100">
        <f>MOD(Fuel1.2Ratio[[#This Row],[Oxydizer]],1)</f>
        <v>0</v>
      </c>
    </row>
    <row r="354" spans="2:4" x14ac:dyDescent="0.35">
      <c r="B354">
        <v>336</v>
      </c>
      <c r="C354">
        <f t="shared" si="6"/>
        <v>403.2</v>
      </c>
      <c r="D354" s="100">
        <f>MOD(Fuel1.2Ratio[[#This Row],[Oxydizer]],1)</f>
        <v>0.19999999999998863</v>
      </c>
    </row>
    <row r="355" spans="2:4" x14ac:dyDescent="0.35">
      <c r="B355">
        <v>337</v>
      </c>
      <c r="C355">
        <f t="shared" si="6"/>
        <v>404.4</v>
      </c>
      <c r="D355" s="100">
        <f>MOD(Fuel1.2Ratio[[#This Row],[Oxydizer]],1)</f>
        <v>0.39999999999997726</v>
      </c>
    </row>
    <row r="356" spans="2:4" x14ac:dyDescent="0.35">
      <c r="B356">
        <v>338</v>
      </c>
      <c r="C356">
        <f t="shared" si="6"/>
        <v>405.59999999999997</v>
      </c>
      <c r="D356" s="100">
        <f>MOD(Fuel1.2Ratio[[#This Row],[Oxydizer]],1)</f>
        <v>0.59999999999996589</v>
      </c>
    </row>
    <row r="357" spans="2:4" x14ac:dyDescent="0.35">
      <c r="B357">
        <v>339</v>
      </c>
      <c r="C357">
        <f t="shared" si="6"/>
        <v>406.8</v>
      </c>
      <c r="D357" s="100">
        <f>MOD(Fuel1.2Ratio[[#This Row],[Oxydizer]],1)</f>
        <v>0.80000000000001137</v>
      </c>
    </row>
    <row r="358" spans="2:4" x14ac:dyDescent="0.35">
      <c r="B358">
        <v>340</v>
      </c>
      <c r="C358">
        <f t="shared" si="6"/>
        <v>408</v>
      </c>
      <c r="D358" s="100">
        <f>MOD(Fuel1.2Ratio[[#This Row],[Oxydizer]],1)</f>
        <v>0</v>
      </c>
    </row>
    <row r="359" spans="2:4" x14ac:dyDescent="0.35">
      <c r="B359">
        <v>341</v>
      </c>
      <c r="C359">
        <f t="shared" si="6"/>
        <v>409.2</v>
      </c>
      <c r="D359" s="100">
        <f>MOD(Fuel1.2Ratio[[#This Row],[Oxydizer]],1)</f>
        <v>0.19999999999998863</v>
      </c>
    </row>
    <row r="360" spans="2:4" x14ac:dyDescent="0.35">
      <c r="B360">
        <v>342</v>
      </c>
      <c r="C360">
        <f t="shared" si="6"/>
        <v>410.4</v>
      </c>
      <c r="D360" s="100">
        <f>MOD(Fuel1.2Ratio[[#This Row],[Oxydizer]],1)</f>
        <v>0.39999999999997726</v>
      </c>
    </row>
    <row r="361" spans="2:4" x14ac:dyDescent="0.35">
      <c r="B361">
        <v>343</v>
      </c>
      <c r="C361">
        <f t="shared" si="6"/>
        <v>411.59999999999997</v>
      </c>
      <c r="D361" s="100">
        <f>MOD(Fuel1.2Ratio[[#This Row],[Oxydizer]],1)</f>
        <v>0.59999999999996589</v>
      </c>
    </row>
    <row r="362" spans="2:4" x14ac:dyDescent="0.35">
      <c r="B362">
        <v>344</v>
      </c>
      <c r="C362">
        <f t="shared" si="6"/>
        <v>412.8</v>
      </c>
      <c r="D362" s="100">
        <f>MOD(Fuel1.2Ratio[[#This Row],[Oxydizer]],1)</f>
        <v>0.80000000000001137</v>
      </c>
    </row>
    <row r="363" spans="2:4" x14ac:dyDescent="0.35">
      <c r="B363">
        <v>345</v>
      </c>
      <c r="C363">
        <f t="shared" si="6"/>
        <v>414</v>
      </c>
      <c r="D363" s="100">
        <f>MOD(Fuel1.2Ratio[[#This Row],[Oxydizer]],1)</f>
        <v>0</v>
      </c>
    </row>
    <row r="364" spans="2:4" x14ac:dyDescent="0.35">
      <c r="B364">
        <v>346</v>
      </c>
      <c r="C364">
        <f t="shared" si="6"/>
        <v>415.2</v>
      </c>
      <c r="D364" s="100">
        <f>MOD(Fuel1.2Ratio[[#This Row],[Oxydizer]],1)</f>
        <v>0.19999999999998863</v>
      </c>
    </row>
    <row r="365" spans="2:4" x14ac:dyDescent="0.35">
      <c r="B365">
        <v>347</v>
      </c>
      <c r="C365">
        <f t="shared" si="6"/>
        <v>416.4</v>
      </c>
      <c r="D365" s="100">
        <f>MOD(Fuel1.2Ratio[[#This Row],[Oxydizer]],1)</f>
        <v>0.39999999999997726</v>
      </c>
    </row>
    <row r="366" spans="2:4" x14ac:dyDescent="0.35">
      <c r="B366">
        <v>348</v>
      </c>
      <c r="C366">
        <f t="shared" si="6"/>
        <v>417.59999999999997</v>
      </c>
      <c r="D366" s="100">
        <f>MOD(Fuel1.2Ratio[[#This Row],[Oxydizer]],1)</f>
        <v>0.59999999999996589</v>
      </c>
    </row>
    <row r="367" spans="2:4" x14ac:dyDescent="0.35">
      <c r="B367">
        <v>349</v>
      </c>
      <c r="C367">
        <f t="shared" si="6"/>
        <v>418.8</v>
      </c>
      <c r="D367" s="100">
        <f>MOD(Fuel1.2Ratio[[#This Row],[Oxydizer]],1)</f>
        <v>0.80000000000001137</v>
      </c>
    </row>
    <row r="368" spans="2:4" x14ac:dyDescent="0.35">
      <c r="B368">
        <v>350</v>
      </c>
      <c r="C368">
        <f t="shared" si="6"/>
        <v>420</v>
      </c>
      <c r="D368" s="100">
        <f>MOD(Fuel1.2Ratio[[#This Row],[Oxydizer]],1)</f>
        <v>0</v>
      </c>
    </row>
    <row r="369" spans="2:4" x14ac:dyDescent="0.35">
      <c r="B369">
        <v>351</v>
      </c>
      <c r="C369">
        <f t="shared" si="6"/>
        <v>421.2</v>
      </c>
      <c r="D369" s="100">
        <f>MOD(Fuel1.2Ratio[[#This Row],[Oxydizer]],1)</f>
        <v>0.19999999999998863</v>
      </c>
    </row>
    <row r="370" spans="2:4" x14ac:dyDescent="0.35">
      <c r="B370">
        <v>352</v>
      </c>
      <c r="C370">
        <f t="shared" si="6"/>
        <v>422.4</v>
      </c>
      <c r="D370" s="100">
        <f>MOD(Fuel1.2Ratio[[#This Row],[Oxydizer]],1)</f>
        <v>0.39999999999997726</v>
      </c>
    </row>
    <row r="371" spans="2:4" x14ac:dyDescent="0.35">
      <c r="B371">
        <v>353</v>
      </c>
      <c r="C371">
        <f t="shared" si="6"/>
        <v>423.59999999999997</v>
      </c>
      <c r="D371" s="100">
        <f>MOD(Fuel1.2Ratio[[#This Row],[Oxydizer]],1)</f>
        <v>0.59999999999996589</v>
      </c>
    </row>
    <row r="372" spans="2:4" x14ac:dyDescent="0.35">
      <c r="B372">
        <v>354</v>
      </c>
      <c r="C372">
        <f t="shared" si="6"/>
        <v>424.8</v>
      </c>
      <c r="D372" s="100">
        <f>MOD(Fuel1.2Ratio[[#This Row],[Oxydizer]],1)</f>
        <v>0.80000000000001137</v>
      </c>
    </row>
    <row r="373" spans="2:4" x14ac:dyDescent="0.35">
      <c r="B373">
        <v>355</v>
      </c>
      <c r="C373">
        <f t="shared" si="6"/>
        <v>426</v>
      </c>
      <c r="D373" s="100">
        <f>MOD(Fuel1.2Ratio[[#This Row],[Oxydizer]],1)</f>
        <v>0</v>
      </c>
    </row>
    <row r="374" spans="2:4" x14ac:dyDescent="0.35">
      <c r="B374">
        <v>356</v>
      </c>
      <c r="C374">
        <f t="shared" si="6"/>
        <v>427.2</v>
      </c>
      <c r="D374" s="100">
        <f>MOD(Fuel1.2Ratio[[#This Row],[Oxydizer]],1)</f>
        <v>0.19999999999998863</v>
      </c>
    </row>
    <row r="375" spans="2:4" x14ac:dyDescent="0.35">
      <c r="B375">
        <v>357</v>
      </c>
      <c r="C375">
        <f t="shared" si="6"/>
        <v>428.4</v>
      </c>
      <c r="D375" s="100">
        <f>MOD(Fuel1.2Ratio[[#This Row],[Oxydizer]],1)</f>
        <v>0.39999999999997726</v>
      </c>
    </row>
    <row r="376" spans="2:4" x14ac:dyDescent="0.35">
      <c r="B376">
        <v>358</v>
      </c>
      <c r="C376">
        <f t="shared" si="6"/>
        <v>429.59999999999997</v>
      </c>
      <c r="D376" s="100">
        <f>MOD(Fuel1.2Ratio[[#This Row],[Oxydizer]],1)</f>
        <v>0.59999999999996589</v>
      </c>
    </row>
    <row r="377" spans="2:4" x14ac:dyDescent="0.35">
      <c r="B377">
        <v>359</v>
      </c>
      <c r="C377">
        <f t="shared" si="6"/>
        <v>430.8</v>
      </c>
      <c r="D377" s="100">
        <f>MOD(Fuel1.2Ratio[[#This Row],[Oxydizer]],1)</f>
        <v>0.80000000000001137</v>
      </c>
    </row>
    <row r="378" spans="2:4" x14ac:dyDescent="0.35">
      <c r="B378">
        <v>360</v>
      </c>
      <c r="C378">
        <f t="shared" si="6"/>
        <v>432</v>
      </c>
      <c r="D378" s="100">
        <f>MOD(Fuel1.2Ratio[[#This Row],[Oxydizer]],1)</f>
        <v>0</v>
      </c>
    </row>
    <row r="379" spans="2:4" x14ac:dyDescent="0.35">
      <c r="B379">
        <v>361</v>
      </c>
      <c r="C379">
        <f t="shared" si="6"/>
        <v>433.2</v>
      </c>
      <c r="D379" s="100">
        <f>MOD(Fuel1.2Ratio[[#This Row],[Oxydizer]],1)</f>
        <v>0.19999999999998863</v>
      </c>
    </row>
    <row r="380" spans="2:4" x14ac:dyDescent="0.35">
      <c r="B380">
        <v>362</v>
      </c>
      <c r="C380">
        <f t="shared" si="6"/>
        <v>434.4</v>
      </c>
      <c r="D380" s="100">
        <f>MOD(Fuel1.2Ratio[[#This Row],[Oxydizer]],1)</f>
        <v>0.39999999999997726</v>
      </c>
    </row>
    <row r="381" spans="2:4" x14ac:dyDescent="0.35">
      <c r="B381">
        <v>363</v>
      </c>
      <c r="C381">
        <f t="shared" si="6"/>
        <v>435.59999999999997</v>
      </c>
      <c r="D381" s="100">
        <f>MOD(Fuel1.2Ratio[[#This Row],[Oxydizer]],1)</f>
        <v>0.59999999999996589</v>
      </c>
    </row>
    <row r="382" spans="2:4" x14ac:dyDescent="0.35">
      <c r="B382">
        <v>364</v>
      </c>
      <c r="C382">
        <f t="shared" si="6"/>
        <v>436.8</v>
      </c>
      <c r="D382" s="100">
        <f>MOD(Fuel1.2Ratio[[#This Row],[Oxydizer]],1)</f>
        <v>0.80000000000001137</v>
      </c>
    </row>
    <row r="383" spans="2:4" x14ac:dyDescent="0.35">
      <c r="B383">
        <v>365</v>
      </c>
      <c r="C383">
        <f t="shared" si="6"/>
        <v>438</v>
      </c>
      <c r="D383" s="100">
        <f>MOD(Fuel1.2Ratio[[#This Row],[Oxydizer]],1)</f>
        <v>0</v>
      </c>
    </row>
    <row r="384" spans="2:4" x14ac:dyDescent="0.35">
      <c r="B384">
        <v>366</v>
      </c>
      <c r="C384">
        <f t="shared" si="6"/>
        <v>439.2</v>
      </c>
      <c r="D384" s="100">
        <f>MOD(Fuel1.2Ratio[[#This Row],[Oxydizer]],1)</f>
        <v>0.19999999999998863</v>
      </c>
    </row>
    <row r="385" spans="2:4" x14ac:dyDescent="0.35">
      <c r="B385">
        <v>367</v>
      </c>
      <c r="C385">
        <f t="shared" si="6"/>
        <v>440.4</v>
      </c>
      <c r="D385" s="100">
        <f>MOD(Fuel1.2Ratio[[#This Row],[Oxydizer]],1)</f>
        <v>0.39999999999997726</v>
      </c>
    </row>
    <row r="386" spans="2:4" x14ac:dyDescent="0.35">
      <c r="B386">
        <v>368</v>
      </c>
      <c r="C386">
        <f t="shared" si="6"/>
        <v>441.59999999999997</v>
      </c>
      <c r="D386" s="100">
        <f>MOD(Fuel1.2Ratio[[#This Row],[Oxydizer]],1)</f>
        <v>0.59999999999996589</v>
      </c>
    </row>
    <row r="387" spans="2:4" x14ac:dyDescent="0.35">
      <c r="B387">
        <v>369</v>
      </c>
      <c r="C387">
        <f t="shared" si="6"/>
        <v>442.8</v>
      </c>
      <c r="D387" s="100">
        <f>MOD(Fuel1.2Ratio[[#This Row],[Oxydizer]],1)</f>
        <v>0.80000000000001137</v>
      </c>
    </row>
    <row r="388" spans="2:4" x14ac:dyDescent="0.35">
      <c r="B388">
        <v>370</v>
      </c>
      <c r="C388">
        <f t="shared" si="6"/>
        <v>444</v>
      </c>
      <c r="D388" s="100">
        <f>MOD(Fuel1.2Ratio[[#This Row],[Oxydizer]],1)</f>
        <v>0</v>
      </c>
    </row>
    <row r="389" spans="2:4" x14ac:dyDescent="0.35">
      <c r="B389">
        <v>371</v>
      </c>
      <c r="C389">
        <f t="shared" si="6"/>
        <v>445.2</v>
      </c>
      <c r="D389" s="100">
        <f>MOD(Fuel1.2Ratio[[#This Row],[Oxydizer]],1)</f>
        <v>0.19999999999998863</v>
      </c>
    </row>
    <row r="390" spans="2:4" x14ac:dyDescent="0.35">
      <c r="B390">
        <v>372</v>
      </c>
      <c r="C390">
        <f t="shared" si="6"/>
        <v>446.4</v>
      </c>
      <c r="D390" s="100">
        <f>MOD(Fuel1.2Ratio[[#This Row],[Oxydizer]],1)</f>
        <v>0.39999999999997726</v>
      </c>
    </row>
    <row r="391" spans="2:4" x14ac:dyDescent="0.35">
      <c r="B391">
        <v>373</v>
      </c>
      <c r="C391">
        <f t="shared" si="6"/>
        <v>447.59999999999997</v>
      </c>
      <c r="D391" s="100">
        <f>MOD(Fuel1.2Ratio[[#This Row],[Oxydizer]],1)</f>
        <v>0.59999999999996589</v>
      </c>
    </row>
    <row r="392" spans="2:4" x14ac:dyDescent="0.35">
      <c r="B392">
        <v>374</v>
      </c>
      <c r="C392">
        <f t="shared" si="6"/>
        <v>448.8</v>
      </c>
      <c r="D392" s="100">
        <f>MOD(Fuel1.2Ratio[[#This Row],[Oxydizer]],1)</f>
        <v>0.80000000000001137</v>
      </c>
    </row>
    <row r="393" spans="2:4" x14ac:dyDescent="0.35">
      <c r="B393">
        <v>375</v>
      </c>
      <c r="C393">
        <f t="shared" si="6"/>
        <v>450</v>
      </c>
      <c r="D393" s="100">
        <f>MOD(Fuel1.2Ratio[[#This Row],[Oxydizer]],1)</f>
        <v>0</v>
      </c>
    </row>
    <row r="394" spans="2:4" x14ac:dyDescent="0.35">
      <c r="B394">
        <v>376</v>
      </c>
      <c r="C394">
        <f t="shared" si="6"/>
        <v>451.2</v>
      </c>
      <c r="D394" s="100">
        <f>MOD(Fuel1.2Ratio[[#This Row],[Oxydizer]],1)</f>
        <v>0.19999999999998863</v>
      </c>
    </row>
    <row r="395" spans="2:4" x14ac:dyDescent="0.35">
      <c r="B395">
        <v>377</v>
      </c>
      <c r="C395">
        <f t="shared" si="6"/>
        <v>452.4</v>
      </c>
      <c r="D395" s="100">
        <f>MOD(Fuel1.2Ratio[[#This Row],[Oxydizer]],1)</f>
        <v>0.39999999999997726</v>
      </c>
    </row>
    <row r="396" spans="2:4" x14ac:dyDescent="0.35">
      <c r="B396">
        <v>378</v>
      </c>
      <c r="C396">
        <f t="shared" si="6"/>
        <v>453.59999999999997</v>
      </c>
      <c r="D396" s="100">
        <f>MOD(Fuel1.2Ratio[[#This Row],[Oxydizer]],1)</f>
        <v>0.59999999999996589</v>
      </c>
    </row>
    <row r="397" spans="2:4" x14ac:dyDescent="0.35">
      <c r="B397">
        <v>379</v>
      </c>
      <c r="C397">
        <f t="shared" si="6"/>
        <v>454.8</v>
      </c>
      <c r="D397" s="100">
        <f>MOD(Fuel1.2Ratio[[#This Row],[Oxydizer]],1)</f>
        <v>0.80000000000001137</v>
      </c>
    </row>
    <row r="398" spans="2:4" x14ac:dyDescent="0.35">
      <c r="B398">
        <v>380</v>
      </c>
      <c r="C398">
        <f t="shared" si="6"/>
        <v>456</v>
      </c>
      <c r="D398" s="100">
        <f>MOD(Fuel1.2Ratio[[#This Row],[Oxydizer]],1)</f>
        <v>0</v>
      </c>
    </row>
    <row r="399" spans="2:4" x14ac:dyDescent="0.35">
      <c r="B399">
        <v>381</v>
      </c>
      <c r="C399">
        <f t="shared" si="6"/>
        <v>457.2</v>
      </c>
      <c r="D399" s="100">
        <f>MOD(Fuel1.2Ratio[[#This Row],[Oxydizer]],1)</f>
        <v>0.19999999999998863</v>
      </c>
    </row>
    <row r="400" spans="2:4" x14ac:dyDescent="0.35">
      <c r="B400">
        <v>382</v>
      </c>
      <c r="C400">
        <f t="shared" si="6"/>
        <v>458.4</v>
      </c>
      <c r="D400" s="100">
        <f>MOD(Fuel1.2Ratio[[#This Row],[Oxydizer]],1)</f>
        <v>0.39999999999997726</v>
      </c>
    </row>
    <row r="401" spans="2:4" x14ac:dyDescent="0.35">
      <c r="B401">
        <v>383</v>
      </c>
      <c r="C401">
        <f t="shared" si="6"/>
        <v>459.59999999999997</v>
      </c>
      <c r="D401" s="100">
        <f>MOD(Fuel1.2Ratio[[#This Row],[Oxydizer]],1)</f>
        <v>0.59999999999996589</v>
      </c>
    </row>
    <row r="402" spans="2:4" x14ac:dyDescent="0.35">
      <c r="B402">
        <v>384</v>
      </c>
      <c r="C402">
        <f t="shared" si="6"/>
        <v>460.79999999999995</v>
      </c>
      <c r="D402" s="100">
        <f>MOD(Fuel1.2Ratio[[#This Row],[Oxydizer]],1)</f>
        <v>0.79999999999995453</v>
      </c>
    </row>
    <row r="403" spans="2:4" x14ac:dyDescent="0.35">
      <c r="B403">
        <v>385</v>
      </c>
      <c r="C403">
        <f t="shared" si="6"/>
        <v>462</v>
      </c>
      <c r="D403" s="100">
        <f>MOD(Fuel1.2Ratio[[#This Row],[Oxydizer]],1)</f>
        <v>0</v>
      </c>
    </row>
    <row r="404" spans="2:4" x14ac:dyDescent="0.35">
      <c r="B404">
        <v>386</v>
      </c>
      <c r="C404">
        <f t="shared" ref="C404:C467" si="7">B404*1.2</f>
        <v>463.2</v>
      </c>
      <c r="D404" s="100">
        <f>MOD(Fuel1.2Ratio[[#This Row],[Oxydizer]],1)</f>
        <v>0.19999999999998863</v>
      </c>
    </row>
    <row r="405" spans="2:4" x14ac:dyDescent="0.35">
      <c r="B405">
        <v>387</v>
      </c>
      <c r="C405">
        <f t="shared" si="7"/>
        <v>464.4</v>
      </c>
      <c r="D405" s="100">
        <f>MOD(Fuel1.2Ratio[[#This Row],[Oxydizer]],1)</f>
        <v>0.39999999999997726</v>
      </c>
    </row>
    <row r="406" spans="2:4" x14ac:dyDescent="0.35">
      <c r="B406">
        <v>388</v>
      </c>
      <c r="C406">
        <f t="shared" si="7"/>
        <v>465.59999999999997</v>
      </c>
      <c r="D406" s="100">
        <f>MOD(Fuel1.2Ratio[[#This Row],[Oxydizer]],1)</f>
        <v>0.59999999999996589</v>
      </c>
    </row>
    <row r="407" spans="2:4" x14ac:dyDescent="0.35">
      <c r="B407">
        <v>389</v>
      </c>
      <c r="C407">
        <f t="shared" si="7"/>
        <v>466.79999999999995</v>
      </c>
      <c r="D407" s="100">
        <f>MOD(Fuel1.2Ratio[[#This Row],[Oxydizer]],1)</f>
        <v>0.79999999999995453</v>
      </c>
    </row>
    <row r="408" spans="2:4" x14ac:dyDescent="0.35">
      <c r="B408">
        <v>390</v>
      </c>
      <c r="C408">
        <f t="shared" si="7"/>
        <v>468</v>
      </c>
      <c r="D408" s="100">
        <f>MOD(Fuel1.2Ratio[[#This Row],[Oxydizer]],1)</f>
        <v>0</v>
      </c>
    </row>
    <row r="409" spans="2:4" x14ac:dyDescent="0.35">
      <c r="B409">
        <v>391</v>
      </c>
      <c r="C409">
        <f t="shared" si="7"/>
        <v>469.2</v>
      </c>
      <c r="D409" s="100">
        <f>MOD(Fuel1.2Ratio[[#This Row],[Oxydizer]],1)</f>
        <v>0.19999999999998863</v>
      </c>
    </row>
    <row r="410" spans="2:4" x14ac:dyDescent="0.35">
      <c r="B410">
        <v>392</v>
      </c>
      <c r="C410">
        <f t="shared" si="7"/>
        <v>470.4</v>
      </c>
      <c r="D410" s="100">
        <f>MOD(Fuel1.2Ratio[[#This Row],[Oxydizer]],1)</f>
        <v>0.39999999999997726</v>
      </c>
    </row>
    <row r="411" spans="2:4" x14ac:dyDescent="0.35">
      <c r="B411">
        <v>393</v>
      </c>
      <c r="C411">
        <f t="shared" si="7"/>
        <v>471.59999999999997</v>
      </c>
      <c r="D411" s="100">
        <f>MOD(Fuel1.2Ratio[[#This Row],[Oxydizer]],1)</f>
        <v>0.59999999999996589</v>
      </c>
    </row>
    <row r="412" spans="2:4" x14ac:dyDescent="0.35">
      <c r="B412">
        <v>394</v>
      </c>
      <c r="C412">
        <f t="shared" si="7"/>
        <v>472.79999999999995</v>
      </c>
      <c r="D412" s="100">
        <f>MOD(Fuel1.2Ratio[[#This Row],[Oxydizer]],1)</f>
        <v>0.79999999999995453</v>
      </c>
    </row>
    <row r="413" spans="2:4" x14ac:dyDescent="0.35">
      <c r="B413">
        <v>395</v>
      </c>
      <c r="C413">
        <f t="shared" si="7"/>
        <v>474</v>
      </c>
      <c r="D413" s="100">
        <f>MOD(Fuel1.2Ratio[[#This Row],[Oxydizer]],1)</f>
        <v>0</v>
      </c>
    </row>
    <row r="414" spans="2:4" x14ac:dyDescent="0.35">
      <c r="B414">
        <v>396</v>
      </c>
      <c r="C414">
        <f t="shared" si="7"/>
        <v>475.2</v>
      </c>
      <c r="D414" s="100">
        <f>MOD(Fuel1.2Ratio[[#This Row],[Oxydizer]],1)</f>
        <v>0.19999999999998863</v>
      </c>
    </row>
    <row r="415" spans="2:4" x14ac:dyDescent="0.35">
      <c r="B415">
        <v>397</v>
      </c>
      <c r="C415">
        <f t="shared" si="7"/>
        <v>476.4</v>
      </c>
      <c r="D415" s="100">
        <f>MOD(Fuel1.2Ratio[[#This Row],[Oxydizer]],1)</f>
        <v>0.39999999999997726</v>
      </c>
    </row>
    <row r="416" spans="2:4" x14ac:dyDescent="0.35">
      <c r="B416">
        <v>398</v>
      </c>
      <c r="C416">
        <f t="shared" si="7"/>
        <v>477.59999999999997</v>
      </c>
      <c r="D416" s="100">
        <f>MOD(Fuel1.2Ratio[[#This Row],[Oxydizer]],1)</f>
        <v>0.59999999999996589</v>
      </c>
    </row>
    <row r="417" spans="2:4" x14ac:dyDescent="0.35">
      <c r="B417">
        <v>399</v>
      </c>
      <c r="C417">
        <f t="shared" si="7"/>
        <v>478.79999999999995</v>
      </c>
      <c r="D417" s="100">
        <f>MOD(Fuel1.2Ratio[[#This Row],[Oxydizer]],1)</f>
        <v>0.79999999999995453</v>
      </c>
    </row>
    <row r="418" spans="2:4" x14ac:dyDescent="0.35">
      <c r="B418">
        <v>400</v>
      </c>
      <c r="C418">
        <f t="shared" si="7"/>
        <v>480</v>
      </c>
      <c r="D418" s="100">
        <f>MOD(Fuel1.2Ratio[[#This Row],[Oxydizer]],1)</f>
        <v>0</v>
      </c>
    </row>
    <row r="419" spans="2:4" x14ac:dyDescent="0.35">
      <c r="B419">
        <v>401</v>
      </c>
      <c r="C419">
        <f t="shared" si="7"/>
        <v>481.2</v>
      </c>
      <c r="D419" s="100">
        <f>MOD(Fuel1.2Ratio[[#This Row],[Oxydizer]],1)</f>
        <v>0.19999999999998863</v>
      </c>
    </row>
    <row r="420" spans="2:4" x14ac:dyDescent="0.35">
      <c r="B420">
        <v>402</v>
      </c>
      <c r="C420">
        <f t="shared" si="7"/>
        <v>482.4</v>
      </c>
      <c r="D420" s="100">
        <f>MOD(Fuel1.2Ratio[[#This Row],[Oxydizer]],1)</f>
        <v>0.39999999999997726</v>
      </c>
    </row>
    <row r="421" spans="2:4" x14ac:dyDescent="0.35">
      <c r="B421">
        <v>403</v>
      </c>
      <c r="C421">
        <f t="shared" si="7"/>
        <v>483.59999999999997</v>
      </c>
      <c r="D421" s="100">
        <f>MOD(Fuel1.2Ratio[[#This Row],[Oxydizer]],1)</f>
        <v>0.59999999999996589</v>
      </c>
    </row>
    <row r="422" spans="2:4" x14ac:dyDescent="0.35">
      <c r="B422">
        <v>404</v>
      </c>
      <c r="C422">
        <f t="shared" si="7"/>
        <v>484.79999999999995</v>
      </c>
      <c r="D422" s="100">
        <f>MOD(Fuel1.2Ratio[[#This Row],[Oxydizer]],1)</f>
        <v>0.79999999999995453</v>
      </c>
    </row>
    <row r="423" spans="2:4" x14ac:dyDescent="0.35">
      <c r="B423">
        <v>405</v>
      </c>
      <c r="C423">
        <f t="shared" si="7"/>
        <v>486</v>
      </c>
      <c r="D423" s="100">
        <f>MOD(Fuel1.2Ratio[[#This Row],[Oxydizer]],1)</f>
        <v>0</v>
      </c>
    </row>
    <row r="424" spans="2:4" x14ac:dyDescent="0.35">
      <c r="B424">
        <v>406</v>
      </c>
      <c r="C424">
        <f t="shared" si="7"/>
        <v>487.2</v>
      </c>
      <c r="D424" s="100">
        <f>MOD(Fuel1.2Ratio[[#This Row],[Oxydizer]],1)</f>
        <v>0.19999999999998863</v>
      </c>
    </row>
    <row r="425" spans="2:4" x14ac:dyDescent="0.35">
      <c r="B425">
        <v>407</v>
      </c>
      <c r="C425">
        <f t="shared" si="7"/>
        <v>488.4</v>
      </c>
      <c r="D425" s="100">
        <f>MOD(Fuel1.2Ratio[[#This Row],[Oxydizer]],1)</f>
        <v>0.39999999999997726</v>
      </c>
    </row>
    <row r="426" spans="2:4" x14ac:dyDescent="0.35">
      <c r="B426">
        <v>408</v>
      </c>
      <c r="C426">
        <f t="shared" si="7"/>
        <v>489.59999999999997</v>
      </c>
      <c r="D426" s="100">
        <f>MOD(Fuel1.2Ratio[[#This Row],[Oxydizer]],1)</f>
        <v>0.59999999999996589</v>
      </c>
    </row>
    <row r="427" spans="2:4" x14ac:dyDescent="0.35">
      <c r="B427">
        <v>409</v>
      </c>
      <c r="C427">
        <f t="shared" si="7"/>
        <v>490.79999999999995</v>
      </c>
      <c r="D427" s="100">
        <f>MOD(Fuel1.2Ratio[[#This Row],[Oxydizer]],1)</f>
        <v>0.79999999999995453</v>
      </c>
    </row>
    <row r="428" spans="2:4" x14ac:dyDescent="0.35">
      <c r="B428">
        <v>410</v>
      </c>
      <c r="C428">
        <f t="shared" si="7"/>
        <v>492</v>
      </c>
      <c r="D428" s="100">
        <f>MOD(Fuel1.2Ratio[[#This Row],[Oxydizer]],1)</f>
        <v>0</v>
      </c>
    </row>
    <row r="429" spans="2:4" x14ac:dyDescent="0.35">
      <c r="B429">
        <v>411</v>
      </c>
      <c r="C429">
        <f t="shared" si="7"/>
        <v>493.2</v>
      </c>
      <c r="D429" s="100">
        <f>MOD(Fuel1.2Ratio[[#This Row],[Oxydizer]],1)</f>
        <v>0.19999999999998863</v>
      </c>
    </row>
    <row r="430" spans="2:4" x14ac:dyDescent="0.35">
      <c r="B430">
        <v>412</v>
      </c>
      <c r="C430">
        <f t="shared" si="7"/>
        <v>494.4</v>
      </c>
      <c r="D430" s="100">
        <f>MOD(Fuel1.2Ratio[[#This Row],[Oxydizer]],1)</f>
        <v>0.39999999999997726</v>
      </c>
    </row>
    <row r="431" spans="2:4" x14ac:dyDescent="0.35">
      <c r="B431">
        <v>413</v>
      </c>
      <c r="C431">
        <f t="shared" si="7"/>
        <v>495.59999999999997</v>
      </c>
      <c r="D431" s="100">
        <f>MOD(Fuel1.2Ratio[[#This Row],[Oxydizer]],1)</f>
        <v>0.59999999999996589</v>
      </c>
    </row>
    <row r="432" spans="2:4" x14ac:dyDescent="0.35">
      <c r="B432">
        <v>414</v>
      </c>
      <c r="C432">
        <f t="shared" si="7"/>
        <v>496.79999999999995</v>
      </c>
      <c r="D432" s="100">
        <f>MOD(Fuel1.2Ratio[[#This Row],[Oxydizer]],1)</f>
        <v>0.79999999999995453</v>
      </c>
    </row>
    <row r="433" spans="2:4" x14ac:dyDescent="0.35">
      <c r="B433">
        <v>415</v>
      </c>
      <c r="C433">
        <f t="shared" si="7"/>
        <v>498</v>
      </c>
      <c r="D433" s="100">
        <f>MOD(Fuel1.2Ratio[[#This Row],[Oxydizer]],1)</f>
        <v>0</v>
      </c>
    </row>
    <row r="434" spans="2:4" x14ac:dyDescent="0.35">
      <c r="B434">
        <v>416</v>
      </c>
      <c r="C434">
        <f t="shared" si="7"/>
        <v>499.2</v>
      </c>
      <c r="D434" s="100">
        <f>MOD(Fuel1.2Ratio[[#This Row],[Oxydizer]],1)</f>
        <v>0.19999999999998863</v>
      </c>
    </row>
    <row r="435" spans="2:4" x14ac:dyDescent="0.35">
      <c r="B435">
        <v>417</v>
      </c>
      <c r="C435">
        <f t="shared" si="7"/>
        <v>500.4</v>
      </c>
      <c r="D435" s="100">
        <f>MOD(Fuel1.2Ratio[[#This Row],[Oxydizer]],1)</f>
        <v>0.39999999999997726</v>
      </c>
    </row>
    <row r="436" spans="2:4" x14ac:dyDescent="0.35">
      <c r="B436">
        <v>418</v>
      </c>
      <c r="C436">
        <f t="shared" si="7"/>
        <v>501.59999999999997</v>
      </c>
      <c r="D436" s="100">
        <f>MOD(Fuel1.2Ratio[[#This Row],[Oxydizer]],1)</f>
        <v>0.59999999999996589</v>
      </c>
    </row>
    <row r="437" spans="2:4" x14ac:dyDescent="0.35">
      <c r="B437">
        <v>419</v>
      </c>
      <c r="C437">
        <f t="shared" si="7"/>
        <v>502.79999999999995</v>
      </c>
      <c r="D437" s="100">
        <f>MOD(Fuel1.2Ratio[[#This Row],[Oxydizer]],1)</f>
        <v>0.79999999999995453</v>
      </c>
    </row>
    <row r="438" spans="2:4" x14ac:dyDescent="0.35">
      <c r="B438">
        <v>420</v>
      </c>
      <c r="C438">
        <f t="shared" si="7"/>
        <v>504</v>
      </c>
      <c r="D438" s="100">
        <f>MOD(Fuel1.2Ratio[[#This Row],[Oxydizer]],1)</f>
        <v>0</v>
      </c>
    </row>
    <row r="439" spans="2:4" x14ac:dyDescent="0.35">
      <c r="B439">
        <v>421</v>
      </c>
      <c r="C439">
        <f t="shared" si="7"/>
        <v>505.2</v>
      </c>
      <c r="D439" s="100">
        <f>MOD(Fuel1.2Ratio[[#This Row],[Oxydizer]],1)</f>
        <v>0.19999999999998863</v>
      </c>
    </row>
    <row r="440" spans="2:4" x14ac:dyDescent="0.35">
      <c r="B440">
        <v>422</v>
      </c>
      <c r="C440">
        <f t="shared" si="7"/>
        <v>506.4</v>
      </c>
      <c r="D440" s="100">
        <f>MOD(Fuel1.2Ratio[[#This Row],[Oxydizer]],1)</f>
        <v>0.39999999999997726</v>
      </c>
    </row>
    <row r="441" spans="2:4" x14ac:dyDescent="0.35">
      <c r="B441">
        <v>423</v>
      </c>
      <c r="C441">
        <f t="shared" si="7"/>
        <v>507.59999999999997</v>
      </c>
      <c r="D441" s="100">
        <f>MOD(Fuel1.2Ratio[[#This Row],[Oxydizer]],1)</f>
        <v>0.59999999999996589</v>
      </c>
    </row>
    <row r="442" spans="2:4" x14ac:dyDescent="0.35">
      <c r="B442">
        <v>424</v>
      </c>
      <c r="C442">
        <f t="shared" si="7"/>
        <v>508.79999999999995</v>
      </c>
      <c r="D442" s="100">
        <f>MOD(Fuel1.2Ratio[[#This Row],[Oxydizer]],1)</f>
        <v>0.79999999999995453</v>
      </c>
    </row>
    <row r="443" spans="2:4" x14ac:dyDescent="0.35">
      <c r="B443">
        <v>425</v>
      </c>
      <c r="C443">
        <f t="shared" si="7"/>
        <v>510</v>
      </c>
      <c r="D443" s="100">
        <f>MOD(Fuel1.2Ratio[[#This Row],[Oxydizer]],1)</f>
        <v>0</v>
      </c>
    </row>
    <row r="444" spans="2:4" x14ac:dyDescent="0.35">
      <c r="B444">
        <v>426</v>
      </c>
      <c r="C444">
        <f t="shared" si="7"/>
        <v>511.2</v>
      </c>
      <c r="D444" s="100">
        <f>MOD(Fuel1.2Ratio[[#This Row],[Oxydizer]],1)</f>
        <v>0.19999999999998863</v>
      </c>
    </row>
    <row r="445" spans="2:4" x14ac:dyDescent="0.35">
      <c r="B445">
        <v>427</v>
      </c>
      <c r="C445">
        <f t="shared" si="7"/>
        <v>512.4</v>
      </c>
      <c r="D445" s="100">
        <f>MOD(Fuel1.2Ratio[[#This Row],[Oxydizer]],1)</f>
        <v>0.39999999999997726</v>
      </c>
    </row>
    <row r="446" spans="2:4" x14ac:dyDescent="0.35">
      <c r="B446">
        <v>428</v>
      </c>
      <c r="C446">
        <f t="shared" si="7"/>
        <v>513.6</v>
      </c>
      <c r="D446" s="100">
        <f>MOD(Fuel1.2Ratio[[#This Row],[Oxydizer]],1)</f>
        <v>0.60000000000002274</v>
      </c>
    </row>
    <row r="447" spans="2:4" x14ac:dyDescent="0.35">
      <c r="B447">
        <v>429</v>
      </c>
      <c r="C447">
        <f t="shared" si="7"/>
        <v>514.79999999999995</v>
      </c>
      <c r="D447" s="100">
        <f>MOD(Fuel1.2Ratio[[#This Row],[Oxydizer]],1)</f>
        <v>0.79999999999995453</v>
      </c>
    </row>
    <row r="448" spans="2:4" x14ac:dyDescent="0.35">
      <c r="B448">
        <v>430</v>
      </c>
      <c r="C448">
        <f t="shared" si="7"/>
        <v>516</v>
      </c>
      <c r="D448" s="100">
        <f>MOD(Fuel1.2Ratio[[#This Row],[Oxydizer]],1)</f>
        <v>0</v>
      </c>
    </row>
    <row r="449" spans="2:4" x14ac:dyDescent="0.35">
      <c r="B449">
        <v>431</v>
      </c>
      <c r="C449">
        <f t="shared" si="7"/>
        <v>517.19999999999993</v>
      </c>
      <c r="D449" s="100">
        <f>MOD(Fuel1.2Ratio[[#This Row],[Oxydizer]],1)</f>
        <v>0.19999999999993179</v>
      </c>
    </row>
    <row r="450" spans="2:4" x14ac:dyDescent="0.35">
      <c r="B450">
        <v>432</v>
      </c>
      <c r="C450">
        <f t="shared" si="7"/>
        <v>518.4</v>
      </c>
      <c r="D450" s="100">
        <f>MOD(Fuel1.2Ratio[[#This Row],[Oxydizer]],1)</f>
        <v>0.39999999999997726</v>
      </c>
    </row>
    <row r="451" spans="2:4" x14ac:dyDescent="0.35">
      <c r="B451">
        <v>433</v>
      </c>
      <c r="C451">
        <f t="shared" si="7"/>
        <v>519.6</v>
      </c>
      <c r="D451" s="100">
        <f>MOD(Fuel1.2Ratio[[#This Row],[Oxydizer]],1)</f>
        <v>0.60000000000002274</v>
      </c>
    </row>
    <row r="452" spans="2:4" x14ac:dyDescent="0.35">
      <c r="B452">
        <v>434</v>
      </c>
      <c r="C452">
        <f t="shared" si="7"/>
        <v>520.79999999999995</v>
      </c>
      <c r="D452" s="100">
        <f>MOD(Fuel1.2Ratio[[#This Row],[Oxydizer]],1)</f>
        <v>0.79999999999995453</v>
      </c>
    </row>
    <row r="453" spans="2:4" x14ac:dyDescent="0.35">
      <c r="B453">
        <v>435</v>
      </c>
      <c r="C453">
        <f t="shared" si="7"/>
        <v>522</v>
      </c>
      <c r="D453" s="100">
        <f>MOD(Fuel1.2Ratio[[#This Row],[Oxydizer]],1)</f>
        <v>0</v>
      </c>
    </row>
    <row r="454" spans="2:4" x14ac:dyDescent="0.35">
      <c r="B454">
        <v>436</v>
      </c>
      <c r="C454">
        <f t="shared" si="7"/>
        <v>523.19999999999993</v>
      </c>
      <c r="D454" s="100">
        <f>MOD(Fuel1.2Ratio[[#This Row],[Oxydizer]],1)</f>
        <v>0.19999999999993179</v>
      </c>
    </row>
    <row r="455" spans="2:4" x14ac:dyDescent="0.35">
      <c r="B455">
        <v>437</v>
      </c>
      <c r="C455">
        <f t="shared" si="7"/>
        <v>524.4</v>
      </c>
      <c r="D455" s="100">
        <f>MOD(Fuel1.2Ratio[[#This Row],[Oxydizer]],1)</f>
        <v>0.39999999999997726</v>
      </c>
    </row>
    <row r="456" spans="2:4" x14ac:dyDescent="0.35">
      <c r="B456">
        <v>438</v>
      </c>
      <c r="C456">
        <f t="shared" si="7"/>
        <v>525.6</v>
      </c>
      <c r="D456" s="100">
        <f>MOD(Fuel1.2Ratio[[#This Row],[Oxydizer]],1)</f>
        <v>0.60000000000002274</v>
      </c>
    </row>
    <row r="457" spans="2:4" x14ac:dyDescent="0.35">
      <c r="B457">
        <v>439</v>
      </c>
      <c r="C457">
        <f t="shared" si="7"/>
        <v>526.79999999999995</v>
      </c>
      <c r="D457" s="100">
        <f>MOD(Fuel1.2Ratio[[#This Row],[Oxydizer]],1)</f>
        <v>0.79999999999995453</v>
      </c>
    </row>
    <row r="458" spans="2:4" x14ac:dyDescent="0.35">
      <c r="B458">
        <v>440</v>
      </c>
      <c r="C458">
        <f t="shared" si="7"/>
        <v>528</v>
      </c>
      <c r="D458" s="100">
        <f>MOD(Fuel1.2Ratio[[#This Row],[Oxydizer]],1)</f>
        <v>0</v>
      </c>
    </row>
    <row r="459" spans="2:4" x14ac:dyDescent="0.35">
      <c r="B459">
        <v>441</v>
      </c>
      <c r="C459">
        <f t="shared" si="7"/>
        <v>529.19999999999993</v>
      </c>
      <c r="D459" s="100">
        <f>MOD(Fuel1.2Ratio[[#This Row],[Oxydizer]],1)</f>
        <v>0.19999999999993179</v>
      </c>
    </row>
    <row r="460" spans="2:4" x14ac:dyDescent="0.35">
      <c r="B460">
        <v>442</v>
      </c>
      <c r="C460">
        <f t="shared" si="7"/>
        <v>530.4</v>
      </c>
      <c r="D460" s="100">
        <f>MOD(Fuel1.2Ratio[[#This Row],[Oxydizer]],1)</f>
        <v>0.39999999999997726</v>
      </c>
    </row>
    <row r="461" spans="2:4" x14ac:dyDescent="0.35">
      <c r="B461">
        <v>443</v>
      </c>
      <c r="C461">
        <f t="shared" si="7"/>
        <v>531.6</v>
      </c>
      <c r="D461" s="100">
        <f>MOD(Fuel1.2Ratio[[#This Row],[Oxydizer]],1)</f>
        <v>0.60000000000002274</v>
      </c>
    </row>
    <row r="462" spans="2:4" x14ac:dyDescent="0.35">
      <c r="B462">
        <v>444</v>
      </c>
      <c r="C462">
        <f t="shared" si="7"/>
        <v>532.79999999999995</v>
      </c>
      <c r="D462" s="100">
        <f>MOD(Fuel1.2Ratio[[#This Row],[Oxydizer]],1)</f>
        <v>0.79999999999995453</v>
      </c>
    </row>
    <row r="463" spans="2:4" x14ac:dyDescent="0.35">
      <c r="B463">
        <v>445</v>
      </c>
      <c r="C463">
        <f t="shared" si="7"/>
        <v>534</v>
      </c>
      <c r="D463" s="100">
        <f>MOD(Fuel1.2Ratio[[#This Row],[Oxydizer]],1)</f>
        <v>0</v>
      </c>
    </row>
    <row r="464" spans="2:4" x14ac:dyDescent="0.35">
      <c r="B464">
        <v>446</v>
      </c>
      <c r="C464">
        <f t="shared" si="7"/>
        <v>535.19999999999993</v>
      </c>
      <c r="D464" s="100">
        <f>MOD(Fuel1.2Ratio[[#This Row],[Oxydizer]],1)</f>
        <v>0.19999999999993179</v>
      </c>
    </row>
    <row r="465" spans="2:4" x14ac:dyDescent="0.35">
      <c r="B465">
        <v>447</v>
      </c>
      <c r="C465">
        <f t="shared" si="7"/>
        <v>536.4</v>
      </c>
      <c r="D465" s="100">
        <f>MOD(Fuel1.2Ratio[[#This Row],[Oxydizer]],1)</f>
        <v>0.39999999999997726</v>
      </c>
    </row>
    <row r="466" spans="2:4" x14ac:dyDescent="0.35">
      <c r="B466">
        <v>448</v>
      </c>
      <c r="C466">
        <f t="shared" si="7"/>
        <v>537.6</v>
      </c>
      <c r="D466" s="100">
        <f>MOD(Fuel1.2Ratio[[#This Row],[Oxydizer]],1)</f>
        <v>0.60000000000002274</v>
      </c>
    </row>
    <row r="467" spans="2:4" x14ac:dyDescent="0.35">
      <c r="B467">
        <v>449</v>
      </c>
      <c r="C467">
        <f t="shared" si="7"/>
        <v>538.79999999999995</v>
      </c>
      <c r="D467" s="100">
        <f>MOD(Fuel1.2Ratio[[#This Row],[Oxydizer]],1)</f>
        <v>0.79999999999995453</v>
      </c>
    </row>
    <row r="468" spans="2:4" x14ac:dyDescent="0.35">
      <c r="B468">
        <v>450</v>
      </c>
      <c r="C468">
        <f t="shared" ref="C468:C518" si="8">B468*1.2</f>
        <v>540</v>
      </c>
      <c r="D468" s="100">
        <f>MOD(Fuel1.2Ratio[[#This Row],[Oxydizer]],1)</f>
        <v>0</v>
      </c>
    </row>
    <row r="469" spans="2:4" x14ac:dyDescent="0.35">
      <c r="B469">
        <v>451</v>
      </c>
      <c r="C469">
        <f t="shared" si="8"/>
        <v>541.19999999999993</v>
      </c>
      <c r="D469" s="100">
        <f>MOD(Fuel1.2Ratio[[#This Row],[Oxydizer]],1)</f>
        <v>0.19999999999993179</v>
      </c>
    </row>
    <row r="470" spans="2:4" x14ac:dyDescent="0.35">
      <c r="B470">
        <v>452</v>
      </c>
      <c r="C470">
        <f t="shared" si="8"/>
        <v>542.4</v>
      </c>
      <c r="D470" s="100">
        <f>MOD(Fuel1.2Ratio[[#This Row],[Oxydizer]],1)</f>
        <v>0.39999999999997726</v>
      </c>
    </row>
    <row r="471" spans="2:4" x14ac:dyDescent="0.35">
      <c r="B471">
        <v>453</v>
      </c>
      <c r="C471">
        <f t="shared" si="8"/>
        <v>543.6</v>
      </c>
      <c r="D471" s="100">
        <f>MOD(Fuel1.2Ratio[[#This Row],[Oxydizer]],1)</f>
        <v>0.60000000000002274</v>
      </c>
    </row>
    <row r="472" spans="2:4" x14ac:dyDescent="0.35">
      <c r="B472">
        <v>454</v>
      </c>
      <c r="C472">
        <f t="shared" si="8"/>
        <v>544.79999999999995</v>
      </c>
      <c r="D472" s="100">
        <f>MOD(Fuel1.2Ratio[[#This Row],[Oxydizer]],1)</f>
        <v>0.79999999999995453</v>
      </c>
    </row>
    <row r="473" spans="2:4" x14ac:dyDescent="0.35">
      <c r="B473">
        <v>455</v>
      </c>
      <c r="C473">
        <f t="shared" si="8"/>
        <v>546</v>
      </c>
      <c r="D473" s="100">
        <f>MOD(Fuel1.2Ratio[[#This Row],[Oxydizer]],1)</f>
        <v>0</v>
      </c>
    </row>
    <row r="474" spans="2:4" x14ac:dyDescent="0.35">
      <c r="B474">
        <v>456</v>
      </c>
      <c r="C474">
        <f t="shared" si="8"/>
        <v>547.19999999999993</v>
      </c>
      <c r="D474" s="100">
        <f>MOD(Fuel1.2Ratio[[#This Row],[Oxydizer]],1)</f>
        <v>0.19999999999993179</v>
      </c>
    </row>
    <row r="475" spans="2:4" x14ac:dyDescent="0.35">
      <c r="B475">
        <v>457</v>
      </c>
      <c r="C475">
        <f t="shared" si="8"/>
        <v>548.4</v>
      </c>
      <c r="D475" s="100">
        <f>MOD(Fuel1.2Ratio[[#This Row],[Oxydizer]],1)</f>
        <v>0.39999999999997726</v>
      </c>
    </row>
    <row r="476" spans="2:4" x14ac:dyDescent="0.35">
      <c r="B476">
        <v>458</v>
      </c>
      <c r="C476">
        <f t="shared" si="8"/>
        <v>549.6</v>
      </c>
      <c r="D476" s="100">
        <f>MOD(Fuel1.2Ratio[[#This Row],[Oxydizer]],1)</f>
        <v>0.60000000000002274</v>
      </c>
    </row>
    <row r="477" spans="2:4" x14ac:dyDescent="0.35">
      <c r="B477">
        <v>459</v>
      </c>
      <c r="C477">
        <f t="shared" si="8"/>
        <v>550.79999999999995</v>
      </c>
      <c r="D477" s="100">
        <f>MOD(Fuel1.2Ratio[[#This Row],[Oxydizer]],1)</f>
        <v>0.79999999999995453</v>
      </c>
    </row>
    <row r="478" spans="2:4" x14ac:dyDescent="0.35">
      <c r="B478">
        <v>460</v>
      </c>
      <c r="C478">
        <f t="shared" si="8"/>
        <v>552</v>
      </c>
      <c r="D478" s="100">
        <f>MOD(Fuel1.2Ratio[[#This Row],[Oxydizer]],1)</f>
        <v>0</v>
      </c>
    </row>
    <row r="479" spans="2:4" x14ac:dyDescent="0.35">
      <c r="B479">
        <v>461</v>
      </c>
      <c r="C479">
        <f t="shared" si="8"/>
        <v>553.19999999999993</v>
      </c>
      <c r="D479" s="100">
        <f>MOD(Fuel1.2Ratio[[#This Row],[Oxydizer]],1)</f>
        <v>0.19999999999993179</v>
      </c>
    </row>
    <row r="480" spans="2:4" x14ac:dyDescent="0.35">
      <c r="B480">
        <v>462</v>
      </c>
      <c r="C480">
        <f t="shared" si="8"/>
        <v>554.4</v>
      </c>
      <c r="D480" s="100">
        <f>MOD(Fuel1.2Ratio[[#This Row],[Oxydizer]],1)</f>
        <v>0.39999999999997726</v>
      </c>
    </row>
    <row r="481" spans="2:4" x14ac:dyDescent="0.35">
      <c r="B481">
        <v>463</v>
      </c>
      <c r="C481">
        <f t="shared" si="8"/>
        <v>555.6</v>
      </c>
      <c r="D481" s="100">
        <f>MOD(Fuel1.2Ratio[[#This Row],[Oxydizer]],1)</f>
        <v>0.60000000000002274</v>
      </c>
    </row>
    <row r="482" spans="2:4" x14ac:dyDescent="0.35">
      <c r="B482">
        <v>464</v>
      </c>
      <c r="C482">
        <f t="shared" si="8"/>
        <v>556.79999999999995</v>
      </c>
      <c r="D482" s="100">
        <f>MOD(Fuel1.2Ratio[[#This Row],[Oxydizer]],1)</f>
        <v>0.79999999999995453</v>
      </c>
    </row>
    <row r="483" spans="2:4" x14ac:dyDescent="0.35">
      <c r="B483">
        <v>465</v>
      </c>
      <c r="C483">
        <f t="shared" si="8"/>
        <v>558</v>
      </c>
      <c r="D483" s="100">
        <f>MOD(Fuel1.2Ratio[[#This Row],[Oxydizer]],1)</f>
        <v>0</v>
      </c>
    </row>
    <row r="484" spans="2:4" x14ac:dyDescent="0.35">
      <c r="B484">
        <v>466</v>
      </c>
      <c r="C484">
        <f t="shared" si="8"/>
        <v>559.19999999999993</v>
      </c>
      <c r="D484" s="100">
        <f>MOD(Fuel1.2Ratio[[#This Row],[Oxydizer]],1)</f>
        <v>0.19999999999993179</v>
      </c>
    </row>
    <row r="485" spans="2:4" x14ac:dyDescent="0.35">
      <c r="B485">
        <v>467</v>
      </c>
      <c r="C485">
        <f t="shared" si="8"/>
        <v>560.4</v>
      </c>
      <c r="D485" s="100">
        <f>MOD(Fuel1.2Ratio[[#This Row],[Oxydizer]],1)</f>
        <v>0.39999999999997726</v>
      </c>
    </row>
    <row r="486" spans="2:4" x14ac:dyDescent="0.35">
      <c r="B486">
        <v>468</v>
      </c>
      <c r="C486">
        <f t="shared" si="8"/>
        <v>561.6</v>
      </c>
      <c r="D486" s="100">
        <f>MOD(Fuel1.2Ratio[[#This Row],[Oxydizer]],1)</f>
        <v>0.60000000000002274</v>
      </c>
    </row>
    <row r="487" spans="2:4" x14ac:dyDescent="0.35">
      <c r="B487">
        <v>469</v>
      </c>
      <c r="C487">
        <f t="shared" si="8"/>
        <v>562.79999999999995</v>
      </c>
      <c r="D487" s="100">
        <f>MOD(Fuel1.2Ratio[[#This Row],[Oxydizer]],1)</f>
        <v>0.79999999999995453</v>
      </c>
    </row>
    <row r="488" spans="2:4" x14ac:dyDescent="0.35">
      <c r="B488">
        <v>470</v>
      </c>
      <c r="C488">
        <f t="shared" si="8"/>
        <v>564</v>
      </c>
      <c r="D488" s="100">
        <f>MOD(Fuel1.2Ratio[[#This Row],[Oxydizer]],1)</f>
        <v>0</v>
      </c>
    </row>
    <row r="489" spans="2:4" x14ac:dyDescent="0.35">
      <c r="B489">
        <v>471</v>
      </c>
      <c r="C489">
        <f t="shared" si="8"/>
        <v>565.19999999999993</v>
      </c>
      <c r="D489" s="100">
        <f>MOD(Fuel1.2Ratio[[#This Row],[Oxydizer]],1)</f>
        <v>0.19999999999993179</v>
      </c>
    </row>
    <row r="490" spans="2:4" x14ac:dyDescent="0.35">
      <c r="B490">
        <v>472</v>
      </c>
      <c r="C490">
        <f t="shared" si="8"/>
        <v>566.4</v>
      </c>
      <c r="D490" s="100">
        <f>MOD(Fuel1.2Ratio[[#This Row],[Oxydizer]],1)</f>
        <v>0.39999999999997726</v>
      </c>
    </row>
    <row r="491" spans="2:4" x14ac:dyDescent="0.35">
      <c r="B491">
        <v>473</v>
      </c>
      <c r="C491">
        <f t="shared" si="8"/>
        <v>567.6</v>
      </c>
      <c r="D491" s="100">
        <f>MOD(Fuel1.2Ratio[[#This Row],[Oxydizer]],1)</f>
        <v>0.60000000000002274</v>
      </c>
    </row>
    <row r="492" spans="2:4" x14ac:dyDescent="0.35">
      <c r="B492">
        <v>474</v>
      </c>
      <c r="C492">
        <f t="shared" si="8"/>
        <v>568.79999999999995</v>
      </c>
      <c r="D492" s="100">
        <f>MOD(Fuel1.2Ratio[[#This Row],[Oxydizer]],1)</f>
        <v>0.79999999999995453</v>
      </c>
    </row>
    <row r="493" spans="2:4" x14ac:dyDescent="0.35">
      <c r="B493">
        <v>475</v>
      </c>
      <c r="C493">
        <f t="shared" si="8"/>
        <v>570</v>
      </c>
      <c r="D493" s="100">
        <f>MOD(Fuel1.2Ratio[[#This Row],[Oxydizer]],1)</f>
        <v>0</v>
      </c>
    </row>
    <row r="494" spans="2:4" x14ac:dyDescent="0.35">
      <c r="B494">
        <v>476</v>
      </c>
      <c r="C494">
        <f t="shared" si="8"/>
        <v>571.19999999999993</v>
      </c>
      <c r="D494" s="100">
        <f>MOD(Fuel1.2Ratio[[#This Row],[Oxydizer]],1)</f>
        <v>0.19999999999993179</v>
      </c>
    </row>
    <row r="495" spans="2:4" x14ac:dyDescent="0.35">
      <c r="B495">
        <v>477</v>
      </c>
      <c r="C495">
        <f t="shared" si="8"/>
        <v>572.4</v>
      </c>
      <c r="D495" s="100">
        <f>MOD(Fuel1.2Ratio[[#This Row],[Oxydizer]],1)</f>
        <v>0.39999999999997726</v>
      </c>
    </row>
    <row r="496" spans="2:4" x14ac:dyDescent="0.35">
      <c r="B496">
        <v>478</v>
      </c>
      <c r="C496">
        <f t="shared" si="8"/>
        <v>573.6</v>
      </c>
      <c r="D496" s="100">
        <f>MOD(Fuel1.2Ratio[[#This Row],[Oxydizer]],1)</f>
        <v>0.60000000000002274</v>
      </c>
    </row>
    <row r="497" spans="2:4" x14ac:dyDescent="0.35">
      <c r="B497">
        <v>479</v>
      </c>
      <c r="C497">
        <f t="shared" si="8"/>
        <v>574.79999999999995</v>
      </c>
      <c r="D497" s="100">
        <f>MOD(Fuel1.2Ratio[[#This Row],[Oxydizer]],1)</f>
        <v>0.79999999999995453</v>
      </c>
    </row>
    <row r="498" spans="2:4" x14ac:dyDescent="0.35">
      <c r="B498">
        <v>480</v>
      </c>
      <c r="C498">
        <f t="shared" si="8"/>
        <v>576</v>
      </c>
      <c r="D498" s="100">
        <f>MOD(Fuel1.2Ratio[[#This Row],[Oxydizer]],1)</f>
        <v>0</v>
      </c>
    </row>
    <row r="499" spans="2:4" x14ac:dyDescent="0.35">
      <c r="B499">
        <v>481</v>
      </c>
      <c r="C499">
        <f t="shared" si="8"/>
        <v>577.19999999999993</v>
      </c>
      <c r="D499" s="100">
        <f>MOD(Fuel1.2Ratio[[#This Row],[Oxydizer]],1)</f>
        <v>0.19999999999993179</v>
      </c>
    </row>
    <row r="500" spans="2:4" x14ac:dyDescent="0.35">
      <c r="B500">
        <v>482</v>
      </c>
      <c r="C500">
        <f t="shared" si="8"/>
        <v>578.4</v>
      </c>
      <c r="D500" s="100">
        <f>MOD(Fuel1.2Ratio[[#This Row],[Oxydizer]],1)</f>
        <v>0.39999999999997726</v>
      </c>
    </row>
    <row r="501" spans="2:4" x14ac:dyDescent="0.35">
      <c r="B501">
        <v>483</v>
      </c>
      <c r="C501">
        <f t="shared" si="8"/>
        <v>579.6</v>
      </c>
      <c r="D501" s="100">
        <f>MOD(Fuel1.2Ratio[[#This Row],[Oxydizer]],1)</f>
        <v>0.60000000000002274</v>
      </c>
    </row>
    <row r="502" spans="2:4" x14ac:dyDescent="0.35">
      <c r="B502">
        <v>484</v>
      </c>
      <c r="C502">
        <f t="shared" si="8"/>
        <v>580.79999999999995</v>
      </c>
      <c r="D502" s="100">
        <f>MOD(Fuel1.2Ratio[[#This Row],[Oxydizer]],1)</f>
        <v>0.79999999999995453</v>
      </c>
    </row>
    <row r="503" spans="2:4" x14ac:dyDescent="0.35">
      <c r="B503">
        <v>485</v>
      </c>
      <c r="C503">
        <f t="shared" si="8"/>
        <v>582</v>
      </c>
      <c r="D503" s="100">
        <f>MOD(Fuel1.2Ratio[[#This Row],[Oxydizer]],1)</f>
        <v>0</v>
      </c>
    </row>
    <row r="504" spans="2:4" x14ac:dyDescent="0.35">
      <c r="B504">
        <v>486</v>
      </c>
      <c r="C504">
        <f t="shared" si="8"/>
        <v>583.19999999999993</v>
      </c>
      <c r="D504" s="100">
        <f>MOD(Fuel1.2Ratio[[#This Row],[Oxydizer]],1)</f>
        <v>0.19999999999993179</v>
      </c>
    </row>
    <row r="505" spans="2:4" x14ac:dyDescent="0.35">
      <c r="B505">
        <v>487</v>
      </c>
      <c r="C505">
        <f t="shared" si="8"/>
        <v>584.4</v>
      </c>
      <c r="D505" s="100">
        <f>MOD(Fuel1.2Ratio[[#This Row],[Oxydizer]],1)</f>
        <v>0.39999999999997726</v>
      </c>
    </row>
    <row r="506" spans="2:4" x14ac:dyDescent="0.35">
      <c r="B506">
        <v>488</v>
      </c>
      <c r="C506">
        <f t="shared" si="8"/>
        <v>585.6</v>
      </c>
      <c r="D506" s="100">
        <f>MOD(Fuel1.2Ratio[[#This Row],[Oxydizer]],1)</f>
        <v>0.60000000000002274</v>
      </c>
    </row>
    <row r="507" spans="2:4" x14ac:dyDescent="0.35">
      <c r="B507">
        <v>489</v>
      </c>
      <c r="C507">
        <f t="shared" si="8"/>
        <v>586.79999999999995</v>
      </c>
      <c r="D507" s="100">
        <f>MOD(Fuel1.2Ratio[[#This Row],[Oxydizer]],1)</f>
        <v>0.79999999999995453</v>
      </c>
    </row>
    <row r="508" spans="2:4" x14ac:dyDescent="0.35">
      <c r="B508">
        <v>490</v>
      </c>
      <c r="C508">
        <f t="shared" si="8"/>
        <v>588</v>
      </c>
      <c r="D508" s="100">
        <f>MOD(Fuel1.2Ratio[[#This Row],[Oxydizer]],1)</f>
        <v>0</v>
      </c>
    </row>
    <row r="509" spans="2:4" x14ac:dyDescent="0.35">
      <c r="B509">
        <v>491</v>
      </c>
      <c r="C509">
        <f t="shared" si="8"/>
        <v>589.19999999999993</v>
      </c>
      <c r="D509" s="100">
        <f>MOD(Fuel1.2Ratio[[#This Row],[Oxydizer]],1)</f>
        <v>0.19999999999993179</v>
      </c>
    </row>
    <row r="510" spans="2:4" x14ac:dyDescent="0.35">
      <c r="B510">
        <v>492</v>
      </c>
      <c r="C510">
        <f t="shared" si="8"/>
        <v>590.4</v>
      </c>
      <c r="D510" s="100">
        <f>MOD(Fuel1.2Ratio[[#This Row],[Oxydizer]],1)</f>
        <v>0.39999999999997726</v>
      </c>
    </row>
    <row r="511" spans="2:4" x14ac:dyDescent="0.35">
      <c r="B511">
        <v>493</v>
      </c>
      <c r="C511">
        <f t="shared" si="8"/>
        <v>591.6</v>
      </c>
      <c r="D511" s="100">
        <f>MOD(Fuel1.2Ratio[[#This Row],[Oxydizer]],1)</f>
        <v>0.60000000000002274</v>
      </c>
    </row>
    <row r="512" spans="2:4" x14ac:dyDescent="0.35">
      <c r="B512">
        <v>494</v>
      </c>
      <c r="C512">
        <f t="shared" si="8"/>
        <v>592.79999999999995</v>
      </c>
      <c r="D512" s="100">
        <f>MOD(Fuel1.2Ratio[[#This Row],[Oxydizer]],1)</f>
        <v>0.79999999999995453</v>
      </c>
    </row>
    <row r="513" spans="2:4" x14ac:dyDescent="0.35">
      <c r="B513">
        <v>495</v>
      </c>
      <c r="C513">
        <f t="shared" si="8"/>
        <v>594</v>
      </c>
      <c r="D513" s="100">
        <f>MOD(Fuel1.2Ratio[[#This Row],[Oxydizer]],1)</f>
        <v>0</v>
      </c>
    </row>
    <row r="514" spans="2:4" x14ac:dyDescent="0.35">
      <c r="B514">
        <v>496</v>
      </c>
      <c r="C514">
        <f t="shared" si="8"/>
        <v>595.19999999999993</v>
      </c>
      <c r="D514" s="100">
        <f>MOD(Fuel1.2Ratio[[#This Row],[Oxydizer]],1)</f>
        <v>0.19999999999993179</v>
      </c>
    </row>
    <row r="515" spans="2:4" x14ac:dyDescent="0.35">
      <c r="B515">
        <v>497</v>
      </c>
      <c r="C515">
        <f t="shared" si="8"/>
        <v>596.4</v>
      </c>
      <c r="D515" s="100">
        <f>MOD(Fuel1.2Ratio[[#This Row],[Oxydizer]],1)</f>
        <v>0.39999999999997726</v>
      </c>
    </row>
    <row r="516" spans="2:4" x14ac:dyDescent="0.35">
      <c r="B516">
        <v>498</v>
      </c>
      <c r="C516">
        <f t="shared" si="8"/>
        <v>597.6</v>
      </c>
      <c r="D516" s="100">
        <f>MOD(Fuel1.2Ratio[[#This Row],[Oxydizer]],1)</f>
        <v>0.60000000000002274</v>
      </c>
    </row>
    <row r="517" spans="2:4" x14ac:dyDescent="0.35">
      <c r="B517">
        <v>499</v>
      </c>
      <c r="C517">
        <f t="shared" si="8"/>
        <v>598.79999999999995</v>
      </c>
      <c r="D517" s="100">
        <f>MOD(Fuel1.2Ratio[[#This Row],[Oxydizer]],1)</f>
        <v>0.79999999999995453</v>
      </c>
    </row>
    <row r="518" spans="2:4" x14ac:dyDescent="0.35">
      <c r="B518">
        <v>500</v>
      </c>
      <c r="C518">
        <f t="shared" si="8"/>
        <v>600</v>
      </c>
      <c r="D518" s="100">
        <f>MOD(Fuel1.2Ratio[[#This Row],[Oxydizer]],1)</f>
        <v>0</v>
      </c>
    </row>
    <row r="520" spans="2:4" x14ac:dyDescent="0.35">
      <c r="B520" s="100" t="s">
        <v>523</v>
      </c>
    </row>
    <row r="521" spans="2:4" x14ac:dyDescent="0.35">
      <c r="B521" t="s">
        <v>48</v>
      </c>
      <c r="C521" t="s">
        <v>49</v>
      </c>
    </row>
    <row r="522" spans="2:4" x14ac:dyDescent="0.35">
      <c r="B522">
        <v>5</v>
      </c>
      <c r="C522">
        <v>6</v>
      </c>
    </row>
    <row r="523" spans="2:4" x14ac:dyDescent="0.35">
      <c r="B523">
        <v>10</v>
      </c>
      <c r="C523">
        <v>12</v>
      </c>
    </row>
    <row r="524" spans="2:4" x14ac:dyDescent="0.35">
      <c r="B524">
        <v>15</v>
      </c>
      <c r="C524">
        <v>18</v>
      </c>
    </row>
    <row r="525" spans="2:4" x14ac:dyDescent="0.35">
      <c r="B525">
        <v>20</v>
      </c>
      <c r="C525">
        <v>24</v>
      </c>
    </row>
    <row r="526" spans="2:4" x14ac:dyDescent="0.35">
      <c r="B526">
        <v>25</v>
      </c>
      <c r="C526">
        <v>30</v>
      </c>
    </row>
    <row r="527" spans="2:4" x14ac:dyDescent="0.35">
      <c r="B527">
        <v>30</v>
      </c>
      <c r="C527">
        <v>36</v>
      </c>
    </row>
    <row r="528" spans="2:4" x14ac:dyDescent="0.35">
      <c r="B528">
        <v>35</v>
      </c>
      <c r="C528">
        <v>42</v>
      </c>
    </row>
    <row r="529" spans="2:3" x14ac:dyDescent="0.35">
      <c r="B529">
        <v>40</v>
      </c>
      <c r="C529">
        <v>48</v>
      </c>
    </row>
    <row r="530" spans="2:3" x14ac:dyDescent="0.35">
      <c r="B530">
        <v>45</v>
      </c>
      <c r="C530">
        <v>54</v>
      </c>
    </row>
    <row r="531" spans="2:3" x14ac:dyDescent="0.35">
      <c r="B531">
        <v>50</v>
      </c>
      <c r="C531">
        <v>60</v>
      </c>
    </row>
    <row r="532" spans="2:3" x14ac:dyDescent="0.35">
      <c r="B532">
        <v>55</v>
      </c>
      <c r="C532">
        <v>66</v>
      </c>
    </row>
    <row r="533" spans="2:3" x14ac:dyDescent="0.35">
      <c r="B533">
        <v>60</v>
      </c>
      <c r="C533">
        <v>72</v>
      </c>
    </row>
    <row r="534" spans="2:3" x14ac:dyDescent="0.35">
      <c r="B534">
        <v>65</v>
      </c>
      <c r="C534">
        <v>78</v>
      </c>
    </row>
    <row r="535" spans="2:3" x14ac:dyDescent="0.35">
      <c r="B535">
        <v>70</v>
      </c>
      <c r="C535">
        <v>84</v>
      </c>
    </row>
    <row r="536" spans="2:3" x14ac:dyDescent="0.35">
      <c r="B536">
        <v>75</v>
      </c>
      <c r="C536">
        <v>90</v>
      </c>
    </row>
    <row r="537" spans="2:3" x14ac:dyDescent="0.35">
      <c r="B537">
        <v>80</v>
      </c>
      <c r="C537">
        <v>96</v>
      </c>
    </row>
    <row r="538" spans="2:3" x14ac:dyDescent="0.35">
      <c r="B538">
        <v>85</v>
      </c>
      <c r="C538">
        <v>102</v>
      </c>
    </row>
    <row r="539" spans="2:3" x14ac:dyDescent="0.35">
      <c r="B539">
        <v>90</v>
      </c>
      <c r="C539">
        <v>108</v>
      </c>
    </row>
    <row r="540" spans="2:3" x14ac:dyDescent="0.35">
      <c r="B540">
        <v>95</v>
      </c>
      <c r="C540">
        <v>114</v>
      </c>
    </row>
    <row r="541" spans="2:3" x14ac:dyDescent="0.35">
      <c r="B541">
        <v>100</v>
      </c>
      <c r="C541">
        <v>120</v>
      </c>
    </row>
    <row r="542" spans="2:3" x14ac:dyDescent="0.35">
      <c r="B542">
        <v>105</v>
      </c>
      <c r="C542">
        <v>126</v>
      </c>
    </row>
    <row r="543" spans="2:3" x14ac:dyDescent="0.35">
      <c r="B543">
        <v>110</v>
      </c>
      <c r="C543">
        <v>132</v>
      </c>
    </row>
    <row r="544" spans="2:3" x14ac:dyDescent="0.35">
      <c r="B544">
        <v>115</v>
      </c>
      <c r="C544">
        <v>138</v>
      </c>
    </row>
    <row r="545" spans="2:3" x14ac:dyDescent="0.35">
      <c r="B545">
        <v>120</v>
      </c>
      <c r="C545">
        <v>144</v>
      </c>
    </row>
    <row r="546" spans="2:3" x14ac:dyDescent="0.35">
      <c r="B546">
        <v>125</v>
      </c>
      <c r="C546">
        <v>150</v>
      </c>
    </row>
    <row r="547" spans="2:3" x14ac:dyDescent="0.35">
      <c r="B547">
        <v>130</v>
      </c>
      <c r="C547">
        <v>156</v>
      </c>
    </row>
    <row r="548" spans="2:3" x14ac:dyDescent="0.35">
      <c r="B548">
        <v>135</v>
      </c>
      <c r="C548">
        <v>162</v>
      </c>
    </row>
    <row r="549" spans="2:3" x14ac:dyDescent="0.35">
      <c r="B549">
        <v>140</v>
      </c>
      <c r="C549">
        <v>168</v>
      </c>
    </row>
    <row r="550" spans="2:3" x14ac:dyDescent="0.35">
      <c r="B550">
        <v>145</v>
      </c>
      <c r="C550">
        <v>174</v>
      </c>
    </row>
    <row r="551" spans="2:3" x14ac:dyDescent="0.35">
      <c r="B551">
        <v>150</v>
      </c>
      <c r="C551">
        <v>180</v>
      </c>
    </row>
    <row r="552" spans="2:3" x14ac:dyDescent="0.35">
      <c r="B552">
        <v>155</v>
      </c>
      <c r="C552">
        <v>186</v>
      </c>
    </row>
    <row r="553" spans="2:3" x14ac:dyDescent="0.35">
      <c r="B553">
        <v>160</v>
      </c>
      <c r="C553">
        <v>192</v>
      </c>
    </row>
    <row r="554" spans="2:3" x14ac:dyDescent="0.35">
      <c r="B554">
        <v>165</v>
      </c>
      <c r="C554">
        <v>198</v>
      </c>
    </row>
    <row r="555" spans="2:3" x14ac:dyDescent="0.35">
      <c r="B555">
        <v>170</v>
      </c>
      <c r="C555">
        <v>204</v>
      </c>
    </row>
    <row r="556" spans="2:3" x14ac:dyDescent="0.35">
      <c r="B556">
        <v>175</v>
      </c>
      <c r="C556">
        <v>210</v>
      </c>
    </row>
    <row r="557" spans="2:3" x14ac:dyDescent="0.35">
      <c r="B557">
        <v>180</v>
      </c>
      <c r="C557">
        <v>216</v>
      </c>
    </row>
    <row r="558" spans="2:3" x14ac:dyDescent="0.35">
      <c r="B558">
        <v>185</v>
      </c>
      <c r="C558">
        <v>222</v>
      </c>
    </row>
    <row r="559" spans="2:3" x14ac:dyDescent="0.35">
      <c r="B559">
        <v>190</v>
      </c>
      <c r="C559">
        <v>228</v>
      </c>
    </row>
    <row r="560" spans="2:3" x14ac:dyDescent="0.35">
      <c r="B560">
        <v>195</v>
      </c>
      <c r="C560">
        <v>234</v>
      </c>
    </row>
    <row r="561" spans="2:3" x14ac:dyDescent="0.35">
      <c r="B561">
        <v>200</v>
      </c>
      <c r="C561">
        <v>240</v>
      </c>
    </row>
    <row r="562" spans="2:3" x14ac:dyDescent="0.35">
      <c r="B562">
        <v>205</v>
      </c>
      <c r="C562">
        <v>246</v>
      </c>
    </row>
    <row r="563" spans="2:3" x14ac:dyDescent="0.35">
      <c r="B563">
        <v>210</v>
      </c>
      <c r="C563">
        <v>252</v>
      </c>
    </row>
    <row r="564" spans="2:3" x14ac:dyDescent="0.35">
      <c r="B564">
        <v>215</v>
      </c>
      <c r="C564">
        <v>258</v>
      </c>
    </row>
    <row r="565" spans="2:3" x14ac:dyDescent="0.35">
      <c r="B565">
        <v>220</v>
      </c>
      <c r="C565">
        <v>264</v>
      </c>
    </row>
    <row r="566" spans="2:3" x14ac:dyDescent="0.35">
      <c r="B566">
        <v>225</v>
      </c>
      <c r="C566">
        <v>270</v>
      </c>
    </row>
    <row r="567" spans="2:3" x14ac:dyDescent="0.35">
      <c r="B567">
        <v>230</v>
      </c>
      <c r="C567">
        <v>276</v>
      </c>
    </row>
    <row r="568" spans="2:3" x14ac:dyDescent="0.35">
      <c r="B568">
        <v>235</v>
      </c>
      <c r="C568">
        <v>282</v>
      </c>
    </row>
    <row r="569" spans="2:3" x14ac:dyDescent="0.35">
      <c r="B569">
        <v>240</v>
      </c>
      <c r="C569">
        <v>288</v>
      </c>
    </row>
    <row r="570" spans="2:3" x14ac:dyDescent="0.35">
      <c r="B570">
        <v>245</v>
      </c>
      <c r="C570">
        <v>294</v>
      </c>
    </row>
    <row r="571" spans="2:3" x14ac:dyDescent="0.35">
      <c r="B571">
        <v>250</v>
      </c>
      <c r="C571">
        <v>300</v>
      </c>
    </row>
    <row r="572" spans="2:3" x14ac:dyDescent="0.35">
      <c r="B572">
        <v>255</v>
      </c>
      <c r="C572">
        <v>306</v>
      </c>
    </row>
    <row r="573" spans="2:3" x14ac:dyDescent="0.35">
      <c r="B573">
        <v>260</v>
      </c>
      <c r="C573">
        <v>312</v>
      </c>
    </row>
    <row r="574" spans="2:3" x14ac:dyDescent="0.35">
      <c r="B574">
        <v>265</v>
      </c>
      <c r="C574">
        <v>318</v>
      </c>
    </row>
    <row r="575" spans="2:3" x14ac:dyDescent="0.35">
      <c r="B575">
        <v>270</v>
      </c>
      <c r="C575">
        <v>324</v>
      </c>
    </row>
    <row r="576" spans="2:3" x14ac:dyDescent="0.35">
      <c r="B576">
        <v>275</v>
      </c>
      <c r="C576">
        <v>330</v>
      </c>
    </row>
    <row r="577" spans="2:3" x14ac:dyDescent="0.35">
      <c r="B577">
        <v>280</v>
      </c>
      <c r="C577">
        <v>336</v>
      </c>
    </row>
    <row r="578" spans="2:3" x14ac:dyDescent="0.35">
      <c r="B578">
        <v>285</v>
      </c>
      <c r="C578">
        <v>342</v>
      </c>
    </row>
    <row r="579" spans="2:3" x14ac:dyDescent="0.35">
      <c r="B579">
        <v>290</v>
      </c>
      <c r="C579">
        <v>348</v>
      </c>
    </row>
    <row r="580" spans="2:3" x14ac:dyDescent="0.35">
      <c r="B580">
        <v>295</v>
      </c>
      <c r="C580">
        <v>354</v>
      </c>
    </row>
    <row r="581" spans="2:3" x14ac:dyDescent="0.35">
      <c r="B581">
        <v>300</v>
      </c>
      <c r="C581">
        <v>360</v>
      </c>
    </row>
    <row r="582" spans="2:3" x14ac:dyDescent="0.35">
      <c r="B582">
        <v>305</v>
      </c>
      <c r="C582">
        <v>366</v>
      </c>
    </row>
    <row r="583" spans="2:3" x14ac:dyDescent="0.35">
      <c r="B583">
        <v>310</v>
      </c>
      <c r="C583">
        <v>372</v>
      </c>
    </row>
    <row r="584" spans="2:3" x14ac:dyDescent="0.35">
      <c r="B584">
        <v>315</v>
      </c>
      <c r="C584">
        <v>378</v>
      </c>
    </row>
    <row r="585" spans="2:3" x14ac:dyDescent="0.35">
      <c r="B585">
        <v>320</v>
      </c>
      <c r="C585">
        <v>384</v>
      </c>
    </row>
    <row r="586" spans="2:3" x14ac:dyDescent="0.35">
      <c r="B586">
        <v>325</v>
      </c>
      <c r="C586">
        <v>390</v>
      </c>
    </row>
    <row r="587" spans="2:3" x14ac:dyDescent="0.35">
      <c r="B587">
        <v>330</v>
      </c>
      <c r="C587">
        <v>396</v>
      </c>
    </row>
    <row r="588" spans="2:3" x14ac:dyDescent="0.35">
      <c r="B588">
        <v>335</v>
      </c>
      <c r="C588">
        <v>402</v>
      </c>
    </row>
    <row r="589" spans="2:3" x14ac:dyDescent="0.35">
      <c r="B589">
        <v>340</v>
      </c>
      <c r="C589">
        <v>408</v>
      </c>
    </row>
    <row r="590" spans="2:3" x14ac:dyDescent="0.35">
      <c r="B590">
        <v>345</v>
      </c>
      <c r="C590">
        <v>414</v>
      </c>
    </row>
    <row r="591" spans="2:3" x14ac:dyDescent="0.35">
      <c r="B591">
        <v>350</v>
      </c>
      <c r="C591">
        <v>420</v>
      </c>
    </row>
    <row r="592" spans="2:3" x14ac:dyDescent="0.35">
      <c r="B592">
        <v>355</v>
      </c>
      <c r="C592">
        <v>426</v>
      </c>
    </row>
    <row r="593" spans="2:3" x14ac:dyDescent="0.35">
      <c r="B593">
        <v>360</v>
      </c>
      <c r="C593">
        <v>432</v>
      </c>
    </row>
    <row r="594" spans="2:3" x14ac:dyDescent="0.35">
      <c r="B594">
        <v>365</v>
      </c>
      <c r="C594">
        <v>438</v>
      </c>
    </row>
    <row r="595" spans="2:3" x14ac:dyDescent="0.35">
      <c r="B595">
        <v>370</v>
      </c>
      <c r="C595">
        <v>444</v>
      </c>
    </row>
    <row r="596" spans="2:3" x14ac:dyDescent="0.35">
      <c r="B596">
        <v>375</v>
      </c>
      <c r="C596">
        <v>450</v>
      </c>
    </row>
    <row r="597" spans="2:3" x14ac:dyDescent="0.35">
      <c r="B597">
        <v>380</v>
      </c>
      <c r="C597">
        <v>456</v>
      </c>
    </row>
    <row r="598" spans="2:3" x14ac:dyDescent="0.35">
      <c r="B598">
        <v>385</v>
      </c>
      <c r="C598">
        <v>462</v>
      </c>
    </row>
    <row r="599" spans="2:3" x14ac:dyDescent="0.35">
      <c r="B599">
        <v>390</v>
      </c>
      <c r="C599">
        <v>468</v>
      </c>
    </row>
    <row r="600" spans="2:3" x14ac:dyDescent="0.35">
      <c r="B600">
        <v>395</v>
      </c>
      <c r="C600">
        <v>474</v>
      </c>
    </row>
    <row r="601" spans="2:3" x14ac:dyDescent="0.35">
      <c r="B601">
        <v>400</v>
      </c>
      <c r="C601">
        <v>480</v>
      </c>
    </row>
    <row r="602" spans="2:3" x14ac:dyDescent="0.35">
      <c r="B602">
        <v>405</v>
      </c>
      <c r="C602">
        <v>486</v>
      </c>
    </row>
    <row r="603" spans="2:3" x14ac:dyDescent="0.35">
      <c r="B603">
        <v>410</v>
      </c>
      <c r="C603">
        <v>492</v>
      </c>
    </row>
    <row r="604" spans="2:3" x14ac:dyDescent="0.35">
      <c r="B604">
        <v>415</v>
      </c>
      <c r="C604">
        <v>498</v>
      </c>
    </row>
    <row r="605" spans="2:3" x14ac:dyDescent="0.35">
      <c r="B605">
        <v>420</v>
      </c>
      <c r="C605">
        <v>504</v>
      </c>
    </row>
    <row r="606" spans="2:3" x14ac:dyDescent="0.35">
      <c r="B606">
        <v>425</v>
      </c>
      <c r="C606">
        <v>510</v>
      </c>
    </row>
    <row r="607" spans="2:3" x14ac:dyDescent="0.35">
      <c r="B607">
        <v>430</v>
      </c>
      <c r="C607">
        <v>516</v>
      </c>
    </row>
    <row r="608" spans="2:3" x14ac:dyDescent="0.35">
      <c r="B608">
        <v>435</v>
      </c>
      <c r="C608">
        <v>522</v>
      </c>
    </row>
    <row r="609" spans="2:3" x14ac:dyDescent="0.35">
      <c r="B609">
        <v>440</v>
      </c>
      <c r="C609">
        <v>528</v>
      </c>
    </row>
    <row r="610" spans="2:3" x14ac:dyDescent="0.35">
      <c r="B610">
        <v>445</v>
      </c>
      <c r="C610">
        <v>534</v>
      </c>
    </row>
    <row r="611" spans="2:3" x14ac:dyDescent="0.35">
      <c r="B611">
        <v>450</v>
      </c>
      <c r="C611">
        <v>540</v>
      </c>
    </row>
    <row r="612" spans="2:3" x14ac:dyDescent="0.35">
      <c r="B612">
        <v>455</v>
      </c>
      <c r="C612">
        <v>546</v>
      </c>
    </row>
    <row r="613" spans="2:3" x14ac:dyDescent="0.35">
      <c r="B613">
        <v>460</v>
      </c>
      <c r="C613">
        <v>552</v>
      </c>
    </row>
    <row r="614" spans="2:3" x14ac:dyDescent="0.35">
      <c r="B614">
        <v>465</v>
      </c>
      <c r="C614">
        <v>558</v>
      </c>
    </row>
    <row r="615" spans="2:3" x14ac:dyDescent="0.35">
      <c r="B615">
        <v>470</v>
      </c>
      <c r="C615">
        <v>564</v>
      </c>
    </row>
    <row r="616" spans="2:3" x14ac:dyDescent="0.35">
      <c r="B616">
        <v>475</v>
      </c>
      <c r="C616">
        <v>570</v>
      </c>
    </row>
    <row r="617" spans="2:3" x14ac:dyDescent="0.35">
      <c r="B617">
        <v>480</v>
      </c>
      <c r="C617">
        <v>576</v>
      </c>
    </row>
    <row r="618" spans="2:3" x14ac:dyDescent="0.35">
      <c r="B618">
        <v>485</v>
      </c>
      <c r="C618">
        <v>582</v>
      </c>
    </row>
    <row r="619" spans="2:3" x14ac:dyDescent="0.35">
      <c r="B619">
        <v>490</v>
      </c>
      <c r="C619">
        <v>588</v>
      </c>
    </row>
    <row r="620" spans="2:3" x14ac:dyDescent="0.35">
      <c r="B620">
        <v>495</v>
      </c>
      <c r="C620">
        <v>594</v>
      </c>
    </row>
    <row r="621" spans="2:3" x14ac:dyDescent="0.35">
      <c r="B621">
        <v>500</v>
      </c>
      <c r="C621">
        <v>600</v>
      </c>
    </row>
  </sheetData>
  <conditionalFormatting sqref="C19:C518">
    <cfRule type="expression" dxfId="0" priority="1">
      <formula>MOD($C$19,1)=0</formula>
    </cfRule>
  </conditionalFormatting>
  <pageMargins left="0.7" right="0.7" top="0.75" bottom="0.75" header="0.3" footer="0.3"/>
  <pageSetup orientation="portrait" horizontalDpi="300" verticalDpi="300"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CF669-5A72-4C65-B967-08C691C01076}">
  <dimension ref="A1:B11"/>
  <sheetViews>
    <sheetView workbookViewId="0">
      <selection activeCell="B12" sqref="B12"/>
    </sheetView>
  </sheetViews>
  <sheetFormatPr defaultColWidth="9.1796875" defaultRowHeight="14.5" x14ac:dyDescent="0.35"/>
  <cols>
    <col min="1" max="1" width="10.7265625" style="200" bestFit="1" customWidth="1"/>
    <col min="2" max="2" width="43" style="200" bestFit="1" customWidth="1"/>
    <col min="3" max="16384" width="9.1796875" style="200"/>
  </cols>
  <sheetData>
    <row r="1" spans="1:2" ht="26" x14ac:dyDescent="0.6">
      <c r="A1" s="273" t="s">
        <v>458</v>
      </c>
      <c r="B1" s="273"/>
    </row>
    <row r="3" spans="1:2" x14ac:dyDescent="0.35">
      <c r="A3" s="65" t="s">
        <v>459</v>
      </c>
      <c r="B3" s="204" t="s">
        <v>460</v>
      </c>
    </row>
    <row r="4" spans="1:2" x14ac:dyDescent="0.35">
      <c r="A4" s="65" t="s">
        <v>459</v>
      </c>
      <c r="B4" s="204" t="s">
        <v>461</v>
      </c>
    </row>
    <row r="5" spans="1:2" x14ac:dyDescent="0.35">
      <c r="A5" s="65" t="s">
        <v>459</v>
      </c>
      <c r="B5" s="204" t="s">
        <v>462</v>
      </c>
    </row>
    <row r="6" spans="1:2" x14ac:dyDescent="0.35">
      <c r="A6" s="89" t="s">
        <v>463</v>
      </c>
      <c r="B6" s="204" t="s">
        <v>464</v>
      </c>
    </row>
    <row r="7" spans="1:2" x14ac:dyDescent="0.35">
      <c r="A7" s="204"/>
      <c r="B7" s="204" t="s">
        <v>465</v>
      </c>
    </row>
    <row r="8" spans="1:2" x14ac:dyDescent="0.35">
      <c r="A8" s="204"/>
      <c r="B8" s="204" t="s">
        <v>466</v>
      </c>
    </row>
    <row r="9" spans="1:2" x14ac:dyDescent="0.35">
      <c r="A9" s="204"/>
      <c r="B9" s="204" t="s">
        <v>467</v>
      </c>
    </row>
    <row r="10" spans="1:2" x14ac:dyDescent="0.35">
      <c r="A10" s="204"/>
      <c r="B10" s="204" t="s">
        <v>468</v>
      </c>
    </row>
    <row r="11" spans="1:2" x14ac:dyDescent="0.35">
      <c r="A11" s="204"/>
      <c r="B11" s="204" t="s">
        <v>469</v>
      </c>
    </row>
  </sheetData>
  <mergeCells count="1">
    <mergeCell ref="A1:B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EEDE-13A3-45DD-8BB1-5DE206F6A0FE}">
  <sheetPr codeName="Sheet14" filterMode="1">
    <tabColor theme="5"/>
  </sheetPr>
  <dimension ref="A1:AE706"/>
  <sheetViews>
    <sheetView zoomScale="85" zoomScaleNormal="85" workbookViewId="0">
      <pane xSplit="6" ySplit="2" topLeftCell="P3" activePane="bottomRight" state="frozen"/>
      <selection pane="topRight" activeCell="G1" sqref="G1"/>
      <selection pane="bottomLeft" activeCell="A3" sqref="A3"/>
      <selection pane="bottomRight" activeCell="S621" sqref="S621"/>
    </sheetView>
  </sheetViews>
  <sheetFormatPr defaultColWidth="8.81640625" defaultRowHeight="14.5" outlineLevelCol="1" x14ac:dyDescent="0.35"/>
  <cols>
    <col min="1" max="1" width="27.81640625" bestFit="1" customWidth="1"/>
    <col min="2" max="2" width="25.453125" bestFit="1" customWidth="1"/>
    <col min="3" max="3" width="27.7265625" bestFit="1" customWidth="1"/>
    <col min="4" max="4" width="11.1796875" bestFit="1" customWidth="1"/>
    <col min="5" max="5" width="8.453125" bestFit="1" customWidth="1"/>
    <col min="6" max="6" width="15.26953125" customWidth="1"/>
    <col min="7" max="7" width="1.7265625" style="204" customWidth="1"/>
    <col min="8" max="8" width="20.81640625" style="204" customWidth="1" outlineLevel="1"/>
    <col min="9" max="9" width="30.7265625" style="204" customWidth="1" outlineLevel="1"/>
    <col min="10" max="10" width="26.81640625" style="204" bestFit="1" customWidth="1" outlineLevel="1"/>
    <col min="11" max="11" width="31.7265625" style="204" bestFit="1" customWidth="1" outlineLevel="1"/>
    <col min="12" max="12" width="1.7265625" style="204" customWidth="1"/>
    <col min="13" max="13" width="21.1796875" style="204" customWidth="1" outlineLevel="1"/>
    <col min="14" max="14" width="41.7265625" style="204" bestFit="1" customWidth="1" outlineLevel="1"/>
    <col min="15" max="15" width="30.81640625" style="204" bestFit="1" customWidth="1" outlineLevel="1"/>
    <col min="16" max="16" width="27.81640625" style="204" bestFit="1" customWidth="1" outlineLevel="1"/>
    <col min="17" max="17" width="1.7265625" style="204" customWidth="1"/>
    <col min="18" max="18" width="19.453125" style="204" customWidth="1" outlineLevel="1"/>
    <col min="19" max="19" width="29.26953125" style="204" customWidth="1" outlineLevel="1"/>
    <col min="20" max="21" width="27.81640625" style="204" customWidth="1" outlineLevel="1"/>
    <col min="22" max="22" width="1.7265625" style="204" customWidth="1"/>
    <col min="23" max="23" width="38.81640625" style="204" bestFit="1" customWidth="1" outlineLevel="1"/>
    <col min="24" max="24" width="16.453125" style="204" bestFit="1" customWidth="1" outlineLevel="1"/>
    <col min="25" max="25" width="15.453125" style="204" bestFit="1" customWidth="1" outlineLevel="1"/>
    <col min="26" max="26" width="14.1796875" style="204" bestFit="1" customWidth="1" outlineLevel="1"/>
    <col min="27" max="27" width="1.7265625" style="204" customWidth="1"/>
    <col min="28" max="28" width="23.1796875" style="204" customWidth="1" outlineLevel="1"/>
    <col min="29" max="29" width="30.81640625" style="204" bestFit="1" customWidth="1" outlineLevel="1"/>
    <col min="30" max="30" width="20.54296875" style="204" bestFit="1" customWidth="1" outlineLevel="1"/>
    <col min="31" max="31" width="18.26953125" style="204" bestFit="1" customWidth="1" outlineLevel="1"/>
    <col min="32" max="32" width="1.7265625" style="204" customWidth="1"/>
    <col min="33" max="16384" width="8.81640625" style="204"/>
  </cols>
  <sheetData>
    <row r="1" spans="1:31" x14ac:dyDescent="0.35">
      <c r="A1" s="224" t="s">
        <v>524</v>
      </c>
      <c r="B1" s="224"/>
      <c r="C1" s="224"/>
      <c r="D1" s="224"/>
      <c r="E1" s="224"/>
      <c r="F1" s="224"/>
    </row>
    <row r="2" spans="1:31" s="43" customFormat="1" ht="15" customHeight="1" x14ac:dyDescent="0.35">
      <c r="A2" s="133" t="s">
        <v>525</v>
      </c>
      <c r="B2" s="133" t="s">
        <v>526</v>
      </c>
      <c r="C2" s="133" t="s">
        <v>87</v>
      </c>
      <c r="D2" s="133" t="s">
        <v>396</v>
      </c>
      <c r="E2" s="133" t="s">
        <v>527</v>
      </c>
      <c r="F2" s="133" t="s">
        <v>528</v>
      </c>
      <c r="G2" s="120"/>
      <c r="H2" s="113" t="s">
        <v>291</v>
      </c>
      <c r="I2" s="235"/>
      <c r="J2" s="235"/>
      <c r="K2" s="113"/>
      <c r="M2" s="226" t="s">
        <v>105</v>
      </c>
      <c r="N2" s="226"/>
      <c r="O2" s="226"/>
      <c r="P2" s="226"/>
      <c r="Q2" s="204"/>
      <c r="R2" s="113" t="s">
        <v>86</v>
      </c>
      <c r="S2" s="113"/>
      <c r="T2" s="113"/>
      <c r="U2" s="113"/>
      <c r="W2" s="226" t="s">
        <v>279</v>
      </c>
      <c r="X2" s="226"/>
      <c r="Y2" s="226"/>
      <c r="Z2" s="226"/>
      <c r="AB2" s="113" t="s">
        <v>529</v>
      </c>
      <c r="AC2" s="113"/>
      <c r="AD2" s="113"/>
      <c r="AE2" s="113"/>
    </row>
    <row r="3" spans="1:31" ht="18.75" hidden="1" customHeight="1" x14ac:dyDescent="0.45">
      <c r="A3" s="215" t="s">
        <v>295</v>
      </c>
      <c r="B3" s="215" t="s">
        <v>530</v>
      </c>
      <c r="C3" s="215" t="s">
        <v>531</v>
      </c>
      <c r="D3" s="215" t="s">
        <v>532</v>
      </c>
      <c r="E3" s="215">
        <v>1</v>
      </c>
      <c r="F3" s="215" t="s">
        <v>533</v>
      </c>
      <c r="H3" s="116" t="s">
        <v>534</v>
      </c>
      <c r="I3" s="116"/>
      <c r="J3" s="122"/>
      <c r="K3" s="122"/>
    </row>
    <row r="4" spans="1:31" hidden="1" x14ac:dyDescent="0.35">
      <c r="A4" s="215" t="s">
        <v>295</v>
      </c>
      <c r="B4" s="215" t="s">
        <v>530</v>
      </c>
      <c r="C4" s="215" t="s">
        <v>531</v>
      </c>
      <c r="D4" s="215" t="s">
        <v>532</v>
      </c>
      <c r="E4" s="215">
        <v>2</v>
      </c>
      <c r="F4" s="215" t="s">
        <v>533</v>
      </c>
      <c r="H4" s="115" t="s">
        <v>535</v>
      </c>
      <c r="I4" s="115" t="s">
        <v>536</v>
      </c>
      <c r="J4" s="115"/>
      <c r="K4" s="115"/>
    </row>
    <row r="5" spans="1:31" hidden="1" x14ac:dyDescent="0.35">
      <c r="A5" s="215" t="s">
        <v>295</v>
      </c>
      <c r="B5" s="215" t="s">
        <v>530</v>
      </c>
      <c r="C5" s="215" t="s">
        <v>531</v>
      </c>
      <c r="D5" s="215" t="s">
        <v>532</v>
      </c>
      <c r="E5" s="215">
        <v>3</v>
      </c>
      <c r="F5" s="215" t="s">
        <v>533</v>
      </c>
      <c r="H5" s="115" t="s">
        <v>537</v>
      </c>
      <c r="I5" s="115" t="s">
        <v>538</v>
      </c>
      <c r="J5" s="115" t="s">
        <v>539</v>
      </c>
      <c r="K5" s="115">
        <v>1800</v>
      </c>
    </row>
    <row r="6" spans="1:31" hidden="1" x14ac:dyDescent="0.35">
      <c r="A6" s="215" t="s">
        <v>295</v>
      </c>
      <c r="B6" s="215" t="s">
        <v>530</v>
      </c>
      <c r="C6" s="215" t="s">
        <v>531</v>
      </c>
      <c r="D6" s="215" t="s">
        <v>532</v>
      </c>
      <c r="E6" s="215">
        <v>4</v>
      </c>
      <c r="F6" s="215" t="s">
        <v>533</v>
      </c>
      <c r="H6" s="115" t="s">
        <v>90</v>
      </c>
      <c r="I6" s="115"/>
      <c r="J6" s="115" t="s">
        <v>540</v>
      </c>
      <c r="K6" s="115"/>
    </row>
    <row r="7" spans="1:31" hidden="1" x14ac:dyDescent="0.35">
      <c r="A7" s="215" t="s">
        <v>295</v>
      </c>
      <c r="B7" s="215" t="s">
        <v>530</v>
      </c>
      <c r="C7" s="215" t="s">
        <v>531</v>
      </c>
      <c r="D7" s="215" t="s">
        <v>532</v>
      </c>
      <c r="E7" s="215">
        <v>5</v>
      </c>
      <c r="F7" s="215" t="s">
        <v>533</v>
      </c>
      <c r="H7" s="136" t="s">
        <v>300</v>
      </c>
      <c r="I7" s="137" t="s">
        <v>541</v>
      </c>
      <c r="J7" s="137" t="s">
        <v>302</v>
      </c>
      <c r="K7" s="138" t="s">
        <v>542</v>
      </c>
    </row>
    <row r="8" spans="1:31" hidden="1" x14ac:dyDescent="0.35">
      <c r="A8" s="219" t="s">
        <v>295</v>
      </c>
      <c r="B8" s="219" t="s">
        <v>530</v>
      </c>
      <c r="C8" s="219" t="s">
        <v>531</v>
      </c>
      <c r="D8" s="219" t="s">
        <v>532</v>
      </c>
      <c r="E8" s="219">
        <v>6</v>
      </c>
      <c r="F8" s="219" t="s">
        <v>533</v>
      </c>
      <c r="G8" s="114"/>
      <c r="H8" s="50" t="s">
        <v>88</v>
      </c>
      <c r="I8" s="134">
        <v>200</v>
      </c>
      <c r="J8" s="134">
        <f>I8*I10</f>
        <v>240</v>
      </c>
      <c r="K8" s="149">
        <f>J8</f>
        <v>240</v>
      </c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  <c r="AE8" s="114"/>
    </row>
    <row r="9" spans="1:31" hidden="1" x14ac:dyDescent="0.35">
      <c r="A9" s="219" t="s">
        <v>295</v>
      </c>
      <c r="B9" s="219" t="s">
        <v>530</v>
      </c>
      <c r="C9" s="219" t="s">
        <v>531</v>
      </c>
      <c r="D9" s="219" t="s">
        <v>532</v>
      </c>
      <c r="E9" s="219">
        <v>7</v>
      </c>
      <c r="F9" s="219" t="s">
        <v>533</v>
      </c>
      <c r="G9" s="114"/>
      <c r="H9" s="62" t="s">
        <v>89</v>
      </c>
      <c r="I9" s="72">
        <v>0.04</v>
      </c>
      <c r="J9" s="72">
        <f>IF(J10="1.25m",($I9*I10)-(SUM(QuadCoreMass,CS125Mass)*I10),$I9*I10)</f>
        <v>4.8000000000000001E-2</v>
      </c>
      <c r="K9" s="150">
        <f>J9</f>
        <v>4.8000000000000001E-2</v>
      </c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  <c r="AC9" s="114"/>
      <c r="AD9" s="114"/>
      <c r="AE9" s="114"/>
    </row>
    <row r="10" spans="1:31" hidden="1" x14ac:dyDescent="0.35">
      <c r="A10" s="219" t="s">
        <v>295</v>
      </c>
      <c r="B10" s="219" t="s">
        <v>530</v>
      </c>
      <c r="C10" s="219" t="s">
        <v>531</v>
      </c>
      <c r="D10" s="219" t="s">
        <v>532</v>
      </c>
      <c r="E10" s="219">
        <v>8</v>
      </c>
      <c r="F10" s="219" t="s">
        <v>533</v>
      </c>
      <c r="G10" s="114"/>
      <c r="H10" s="230" t="s">
        <v>303</v>
      </c>
      <c r="I10" s="135">
        <v>1.2</v>
      </c>
      <c r="J10" s="135" t="s">
        <v>44</v>
      </c>
      <c r="K10" s="13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4"/>
      <c r="AB10" s="114"/>
      <c r="AC10" s="114"/>
      <c r="AD10" s="114"/>
      <c r="AE10" s="114"/>
    </row>
    <row r="11" spans="1:31" s="124" customFormat="1" ht="15" hidden="1" thickBot="1" x14ac:dyDescent="0.4">
      <c r="A11" s="216" t="s">
        <v>295</v>
      </c>
      <c r="B11" s="216" t="s">
        <v>530</v>
      </c>
      <c r="C11" s="216" t="s">
        <v>531</v>
      </c>
      <c r="D11" s="216" t="s">
        <v>532</v>
      </c>
      <c r="E11" s="216">
        <v>9</v>
      </c>
      <c r="F11" s="216" t="s">
        <v>533</v>
      </c>
    </row>
    <row r="12" spans="1:31" ht="18.75" hidden="1" customHeight="1" x14ac:dyDescent="0.45">
      <c r="A12" s="215" t="s">
        <v>295</v>
      </c>
      <c r="B12" s="215" t="s">
        <v>543</v>
      </c>
      <c r="C12" s="215" t="s">
        <v>544</v>
      </c>
      <c r="D12" s="215" t="s">
        <v>532</v>
      </c>
      <c r="E12" s="215">
        <v>1</v>
      </c>
      <c r="F12" s="215" t="s">
        <v>533</v>
      </c>
      <c r="H12" s="116" t="s">
        <v>545</v>
      </c>
      <c r="I12" s="116"/>
      <c r="J12" s="122"/>
      <c r="K12" s="122"/>
    </row>
    <row r="13" spans="1:31" ht="15" hidden="1" customHeight="1" x14ac:dyDescent="0.35">
      <c r="A13" s="215" t="s">
        <v>295</v>
      </c>
      <c r="B13" s="215" t="s">
        <v>543</v>
      </c>
      <c r="C13" s="215" t="s">
        <v>544</v>
      </c>
      <c r="D13" s="215" t="s">
        <v>532</v>
      </c>
      <c r="E13" s="215">
        <v>2</v>
      </c>
      <c r="F13" s="215" t="s">
        <v>533</v>
      </c>
      <c r="H13" s="100" t="s">
        <v>535</v>
      </c>
      <c r="I13" s="115" t="s">
        <v>546</v>
      </c>
      <c r="J13" s="115"/>
      <c r="K13" s="100"/>
    </row>
    <row r="14" spans="1:31" hidden="1" x14ac:dyDescent="0.35">
      <c r="A14" s="215" t="s">
        <v>295</v>
      </c>
      <c r="B14" s="215" t="s">
        <v>543</v>
      </c>
      <c r="C14" s="215" t="s">
        <v>544</v>
      </c>
      <c r="D14" s="215" t="s">
        <v>532</v>
      </c>
      <c r="E14" s="215">
        <v>3</v>
      </c>
      <c r="F14" s="215" t="s">
        <v>533</v>
      </c>
      <c r="H14" s="115" t="s">
        <v>537</v>
      </c>
      <c r="I14" s="115" t="s">
        <v>547</v>
      </c>
      <c r="J14" s="115" t="s">
        <v>539</v>
      </c>
      <c r="K14" s="115">
        <v>2200</v>
      </c>
    </row>
    <row r="15" spans="1:31" hidden="1" x14ac:dyDescent="0.35">
      <c r="A15" s="219" t="s">
        <v>295</v>
      </c>
      <c r="B15" s="219" t="s">
        <v>543</v>
      </c>
      <c r="C15" s="219" t="s">
        <v>544</v>
      </c>
      <c r="D15" s="219" t="s">
        <v>532</v>
      </c>
      <c r="E15" s="219">
        <v>4</v>
      </c>
      <c r="F15" s="219" t="s">
        <v>533</v>
      </c>
      <c r="G15" s="114"/>
      <c r="H15" s="115" t="s">
        <v>90</v>
      </c>
      <c r="I15" s="115">
        <v>2000</v>
      </c>
      <c r="J15" s="115" t="s">
        <v>540</v>
      </c>
      <c r="K15" s="115">
        <v>6</v>
      </c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114"/>
      <c r="AA15" s="114"/>
      <c r="AB15" s="114"/>
      <c r="AC15" s="114"/>
      <c r="AD15" s="114"/>
      <c r="AE15" s="114"/>
    </row>
    <row r="16" spans="1:31" hidden="1" x14ac:dyDescent="0.35">
      <c r="A16" s="215" t="s">
        <v>295</v>
      </c>
      <c r="B16" s="215" t="s">
        <v>543</v>
      </c>
      <c r="C16" s="215" t="s">
        <v>544</v>
      </c>
      <c r="D16" s="215" t="s">
        <v>532</v>
      </c>
      <c r="E16" s="215">
        <v>5</v>
      </c>
      <c r="F16" s="215" t="s">
        <v>533</v>
      </c>
      <c r="H16" s="136" t="s">
        <v>300</v>
      </c>
      <c r="I16" s="137" t="s">
        <v>541</v>
      </c>
      <c r="J16" s="137" t="s">
        <v>302</v>
      </c>
      <c r="K16" s="138" t="s">
        <v>542</v>
      </c>
    </row>
    <row r="17" spans="1:11" hidden="1" x14ac:dyDescent="0.35">
      <c r="A17" s="215" t="s">
        <v>295</v>
      </c>
      <c r="B17" s="215" t="s">
        <v>543</v>
      </c>
      <c r="C17" s="215" t="s">
        <v>544</v>
      </c>
      <c r="D17" s="215" t="s">
        <v>532</v>
      </c>
      <c r="E17" s="215">
        <v>6</v>
      </c>
      <c r="F17" s="215" t="s">
        <v>533</v>
      </c>
      <c r="H17" s="50" t="s">
        <v>88</v>
      </c>
      <c r="I17" s="134">
        <v>300</v>
      </c>
      <c r="J17" s="134">
        <f>I17*I19</f>
        <v>300</v>
      </c>
      <c r="K17" s="149">
        <f>J17</f>
        <v>300</v>
      </c>
    </row>
    <row r="18" spans="1:11" hidden="1" x14ac:dyDescent="0.35">
      <c r="A18" s="219" t="s">
        <v>295</v>
      </c>
      <c r="B18" s="219" t="s">
        <v>543</v>
      </c>
      <c r="C18" s="219" t="s">
        <v>544</v>
      </c>
      <c r="D18" s="219" t="s">
        <v>532</v>
      </c>
      <c r="E18" s="219">
        <v>7</v>
      </c>
      <c r="F18" s="219" t="s">
        <v>533</v>
      </c>
      <c r="G18" s="114"/>
      <c r="H18" s="62" t="s">
        <v>89</v>
      </c>
      <c r="I18" s="72">
        <v>0.16</v>
      </c>
      <c r="J18" s="72">
        <f>IF(J19="1.25m",($I18*I19)-(SUM(QuadCoreMass,CS125Mass)*I19),$I18*I19)</f>
        <v>0.16</v>
      </c>
      <c r="K18" s="150">
        <f>J18</f>
        <v>0.16</v>
      </c>
    </row>
    <row r="19" spans="1:11" hidden="1" x14ac:dyDescent="0.35">
      <c r="A19" s="219" t="s">
        <v>295</v>
      </c>
      <c r="B19" s="219" t="s">
        <v>543</v>
      </c>
      <c r="C19" s="219" t="s">
        <v>544</v>
      </c>
      <c r="D19" s="219" t="s">
        <v>532</v>
      </c>
      <c r="E19" s="219">
        <v>8</v>
      </c>
      <c r="F19" s="219" t="s">
        <v>533</v>
      </c>
      <c r="G19" s="114"/>
      <c r="H19" s="230" t="s">
        <v>303</v>
      </c>
      <c r="I19" s="135">
        <v>1</v>
      </c>
      <c r="J19" s="135" t="s">
        <v>44</v>
      </c>
      <c r="K19" s="134"/>
    </row>
    <row r="20" spans="1:11" s="124" customFormat="1" ht="15" hidden="1" thickBot="1" x14ac:dyDescent="0.4">
      <c r="A20" s="216" t="s">
        <v>295</v>
      </c>
      <c r="B20" s="216" t="s">
        <v>543</v>
      </c>
      <c r="C20" s="216" t="s">
        <v>544</v>
      </c>
      <c r="D20" s="216" t="s">
        <v>532</v>
      </c>
      <c r="E20" s="216">
        <v>9</v>
      </c>
      <c r="F20" s="216" t="s">
        <v>533</v>
      </c>
    </row>
    <row r="21" spans="1:11" ht="18.75" hidden="1" customHeight="1" x14ac:dyDescent="0.45">
      <c r="A21" s="215" t="s">
        <v>295</v>
      </c>
      <c r="B21" s="215" t="s">
        <v>548</v>
      </c>
      <c r="C21" s="215" t="s">
        <v>549</v>
      </c>
      <c r="D21" s="215" t="s">
        <v>532</v>
      </c>
      <c r="E21" s="215">
        <v>1</v>
      </c>
      <c r="F21" s="215" t="s">
        <v>533</v>
      </c>
      <c r="H21" s="116" t="s">
        <v>550</v>
      </c>
      <c r="I21" s="116"/>
      <c r="J21" s="122"/>
      <c r="K21" s="122"/>
    </row>
    <row r="22" spans="1:11" ht="15" hidden="1" customHeight="1" x14ac:dyDescent="0.35">
      <c r="A22" s="219" t="s">
        <v>295</v>
      </c>
      <c r="B22" s="219" t="s">
        <v>548</v>
      </c>
      <c r="C22" s="219" t="s">
        <v>549</v>
      </c>
      <c r="D22" s="219" t="s">
        <v>532</v>
      </c>
      <c r="E22" s="219">
        <v>2</v>
      </c>
      <c r="F22" s="219" t="s">
        <v>533</v>
      </c>
      <c r="G22" s="114"/>
      <c r="H22" s="115" t="s">
        <v>535</v>
      </c>
      <c r="I22" s="115" t="s">
        <v>546</v>
      </c>
      <c r="J22" s="115"/>
      <c r="K22" s="115"/>
    </row>
    <row r="23" spans="1:11" ht="15" hidden="1" customHeight="1" x14ac:dyDescent="0.35">
      <c r="A23" s="215" t="s">
        <v>295</v>
      </c>
      <c r="B23" s="215" t="s">
        <v>548</v>
      </c>
      <c r="C23" s="215" t="s">
        <v>549</v>
      </c>
      <c r="D23" s="215" t="s">
        <v>532</v>
      </c>
      <c r="E23" s="215">
        <v>3</v>
      </c>
      <c r="F23" s="215" t="s">
        <v>533</v>
      </c>
      <c r="H23" s="115" t="s">
        <v>537</v>
      </c>
      <c r="I23" s="115" t="s">
        <v>547</v>
      </c>
      <c r="J23" s="115" t="s">
        <v>539</v>
      </c>
      <c r="K23" s="115">
        <v>2000</v>
      </c>
    </row>
    <row r="24" spans="1:11" ht="15" hidden="1" customHeight="1" x14ac:dyDescent="0.35">
      <c r="A24" s="215" t="s">
        <v>295</v>
      </c>
      <c r="B24" s="215" t="s">
        <v>548</v>
      </c>
      <c r="C24" s="215" t="s">
        <v>549</v>
      </c>
      <c r="D24" s="215" t="s">
        <v>532</v>
      </c>
      <c r="E24" s="215">
        <v>4</v>
      </c>
      <c r="F24" s="215" t="s">
        <v>533</v>
      </c>
      <c r="H24" s="115" t="s">
        <v>90</v>
      </c>
      <c r="I24" s="115">
        <v>2000</v>
      </c>
      <c r="J24" s="115" t="s">
        <v>540</v>
      </c>
      <c r="K24" s="115">
        <v>6</v>
      </c>
    </row>
    <row r="25" spans="1:11" ht="15" hidden="1" customHeight="1" x14ac:dyDescent="0.35">
      <c r="A25" s="215" t="s">
        <v>295</v>
      </c>
      <c r="B25" s="215" t="s">
        <v>548</v>
      </c>
      <c r="C25" s="215" t="s">
        <v>549</v>
      </c>
      <c r="D25" s="215" t="s">
        <v>532</v>
      </c>
      <c r="E25" s="215">
        <v>5</v>
      </c>
      <c r="F25" s="215" t="s">
        <v>533</v>
      </c>
      <c r="H25" s="136" t="s">
        <v>300</v>
      </c>
      <c r="I25" s="137" t="s">
        <v>541</v>
      </c>
      <c r="J25" s="137" t="s">
        <v>302</v>
      </c>
      <c r="K25" s="138" t="s">
        <v>542</v>
      </c>
    </row>
    <row r="26" spans="1:11" hidden="1" x14ac:dyDescent="0.35">
      <c r="A26" s="215" t="s">
        <v>295</v>
      </c>
      <c r="B26" s="215" t="s">
        <v>548</v>
      </c>
      <c r="C26" s="215" t="s">
        <v>549</v>
      </c>
      <c r="D26" s="215" t="s">
        <v>532</v>
      </c>
      <c r="E26" s="215">
        <v>6</v>
      </c>
      <c r="F26" s="215" t="s">
        <v>533</v>
      </c>
      <c r="H26" s="50" t="s">
        <v>88</v>
      </c>
      <c r="I26" s="134">
        <v>300</v>
      </c>
      <c r="J26" s="134">
        <f>I26*I28</f>
        <v>225</v>
      </c>
      <c r="K26" s="149">
        <f>J26</f>
        <v>225</v>
      </c>
    </row>
    <row r="27" spans="1:11" hidden="1" x14ac:dyDescent="0.35">
      <c r="A27" s="219" t="s">
        <v>295</v>
      </c>
      <c r="B27" s="219" t="s">
        <v>548</v>
      </c>
      <c r="C27" s="219" t="s">
        <v>549</v>
      </c>
      <c r="D27" s="219" t="s">
        <v>532</v>
      </c>
      <c r="E27" s="219">
        <v>7</v>
      </c>
      <c r="F27" s="219" t="s">
        <v>533</v>
      </c>
      <c r="G27" s="114"/>
      <c r="H27" s="62" t="s">
        <v>89</v>
      </c>
      <c r="I27" s="72">
        <v>0.16</v>
      </c>
      <c r="J27" s="72">
        <f>IF(J28="1.25m",($I27*I28)-(SUM(QuadCoreMass,CS125Mass)*I28),$I27*I28)</f>
        <v>0.12</v>
      </c>
      <c r="K27" s="150">
        <f>J27</f>
        <v>0.12</v>
      </c>
    </row>
    <row r="28" spans="1:11" hidden="1" x14ac:dyDescent="0.35">
      <c r="A28" s="219" t="s">
        <v>295</v>
      </c>
      <c r="B28" s="219" t="s">
        <v>548</v>
      </c>
      <c r="C28" s="219" t="s">
        <v>549</v>
      </c>
      <c r="D28" s="219" t="s">
        <v>532</v>
      </c>
      <c r="E28" s="219">
        <v>8</v>
      </c>
      <c r="F28" s="219" t="s">
        <v>533</v>
      </c>
      <c r="G28" s="114"/>
      <c r="H28" s="230" t="s">
        <v>303</v>
      </c>
      <c r="I28" s="135">
        <v>0.75</v>
      </c>
      <c r="J28" s="135" t="s">
        <v>44</v>
      </c>
      <c r="K28" s="134"/>
    </row>
    <row r="29" spans="1:11" s="124" customFormat="1" ht="15" hidden="1" thickBot="1" x14ac:dyDescent="0.4">
      <c r="A29" s="216" t="s">
        <v>295</v>
      </c>
      <c r="B29" s="216" t="s">
        <v>548</v>
      </c>
      <c r="C29" s="216" t="s">
        <v>549</v>
      </c>
      <c r="D29" s="216" t="s">
        <v>532</v>
      </c>
      <c r="E29" s="216">
        <v>9</v>
      </c>
      <c r="F29" s="216" t="s">
        <v>533</v>
      </c>
    </row>
    <row r="30" spans="1:11" ht="18.75" hidden="1" customHeight="1" x14ac:dyDescent="0.45">
      <c r="A30" s="215" t="s">
        <v>295</v>
      </c>
      <c r="B30" s="215" t="s">
        <v>551</v>
      </c>
      <c r="C30" s="215" t="s">
        <v>552</v>
      </c>
      <c r="D30" s="215" t="s">
        <v>532</v>
      </c>
      <c r="E30" s="215">
        <v>1</v>
      </c>
      <c r="F30" s="215" t="s">
        <v>533</v>
      </c>
      <c r="H30" s="116" t="s">
        <v>553</v>
      </c>
      <c r="I30" s="116"/>
      <c r="J30" s="122"/>
      <c r="K30" s="122"/>
    </row>
    <row r="31" spans="1:11" ht="15" hidden="1" customHeight="1" x14ac:dyDescent="0.35">
      <c r="A31" s="215" t="s">
        <v>295</v>
      </c>
      <c r="B31" s="215" t="s">
        <v>551</v>
      </c>
      <c r="C31" s="215" t="s">
        <v>552</v>
      </c>
      <c r="D31" s="215" t="s">
        <v>532</v>
      </c>
      <c r="E31" s="215">
        <v>2</v>
      </c>
      <c r="F31" s="215" t="s">
        <v>533</v>
      </c>
      <c r="H31" s="100" t="s">
        <v>535</v>
      </c>
      <c r="I31" s="100" t="s">
        <v>536</v>
      </c>
      <c r="J31" s="100"/>
      <c r="K31" s="100"/>
    </row>
    <row r="32" spans="1:11" ht="15" hidden="1" customHeight="1" x14ac:dyDescent="0.35">
      <c r="A32" s="215" t="s">
        <v>295</v>
      </c>
      <c r="B32" s="215" t="s">
        <v>551</v>
      </c>
      <c r="C32" s="215" t="s">
        <v>552</v>
      </c>
      <c r="D32" s="215" t="s">
        <v>532</v>
      </c>
      <c r="E32" s="215">
        <v>3</v>
      </c>
      <c r="F32" s="215" t="s">
        <v>533</v>
      </c>
      <c r="H32" s="115" t="s">
        <v>537</v>
      </c>
      <c r="I32" s="115" t="s">
        <v>538</v>
      </c>
      <c r="J32" s="115" t="s">
        <v>539</v>
      </c>
      <c r="K32" s="115">
        <v>1600</v>
      </c>
    </row>
    <row r="33" spans="1:31" hidden="1" x14ac:dyDescent="0.35">
      <c r="A33" s="215" t="s">
        <v>295</v>
      </c>
      <c r="B33" s="215" t="s">
        <v>551</v>
      </c>
      <c r="C33" s="215" t="s">
        <v>552</v>
      </c>
      <c r="D33" s="215" t="s">
        <v>532</v>
      </c>
      <c r="E33" s="215">
        <v>4</v>
      </c>
      <c r="F33" s="215" t="s">
        <v>533</v>
      </c>
      <c r="H33" s="115" t="s">
        <v>90</v>
      </c>
      <c r="I33" s="115">
        <v>2000</v>
      </c>
      <c r="J33" s="115" t="s">
        <v>540</v>
      </c>
      <c r="K33" s="115">
        <v>6</v>
      </c>
    </row>
    <row r="34" spans="1:31" hidden="1" x14ac:dyDescent="0.35">
      <c r="A34" s="215" t="s">
        <v>295</v>
      </c>
      <c r="B34" s="215" t="s">
        <v>551</v>
      </c>
      <c r="C34" s="215" t="s">
        <v>552</v>
      </c>
      <c r="D34" s="215" t="s">
        <v>532</v>
      </c>
      <c r="E34" s="215">
        <v>5</v>
      </c>
      <c r="F34" s="215" t="s">
        <v>533</v>
      </c>
      <c r="H34" s="136" t="s">
        <v>300</v>
      </c>
      <c r="I34" s="137" t="s">
        <v>541</v>
      </c>
      <c r="J34" s="137" t="s">
        <v>302</v>
      </c>
      <c r="K34" s="138" t="s">
        <v>542</v>
      </c>
    </row>
    <row r="35" spans="1:31" hidden="1" x14ac:dyDescent="0.35">
      <c r="A35" s="215" t="s">
        <v>295</v>
      </c>
      <c r="B35" s="215" t="s">
        <v>551</v>
      </c>
      <c r="C35" s="215" t="s">
        <v>552</v>
      </c>
      <c r="D35" s="215" t="s">
        <v>532</v>
      </c>
      <c r="E35" s="215">
        <v>6</v>
      </c>
      <c r="F35" s="215" t="s">
        <v>533</v>
      </c>
      <c r="H35" s="50" t="s">
        <v>88</v>
      </c>
      <c r="I35" s="134">
        <v>200</v>
      </c>
      <c r="J35" s="134">
        <f>I35*I37</f>
        <v>200</v>
      </c>
      <c r="K35" s="149">
        <f>J35</f>
        <v>200</v>
      </c>
    </row>
    <row r="36" spans="1:31" hidden="1" x14ac:dyDescent="0.35">
      <c r="A36" s="215" t="s">
        <v>295</v>
      </c>
      <c r="B36" s="215" t="s">
        <v>551</v>
      </c>
      <c r="C36" s="215" t="s">
        <v>552</v>
      </c>
      <c r="D36" s="215" t="s">
        <v>532</v>
      </c>
      <c r="E36" s="215">
        <v>7</v>
      </c>
      <c r="F36" s="215" t="s">
        <v>533</v>
      </c>
      <c r="H36" s="62" t="s">
        <v>89</v>
      </c>
      <c r="I36" s="72">
        <v>0.04</v>
      </c>
      <c r="J36" s="72">
        <f>IF(J37="1.25m",($I36*I37)-(SUM(QuadCoreMass,CS125Mass)*I37),$I36*I37)</f>
        <v>0.04</v>
      </c>
      <c r="K36" s="150">
        <f>J36</f>
        <v>0.04</v>
      </c>
    </row>
    <row r="37" spans="1:31" hidden="1" x14ac:dyDescent="0.35">
      <c r="A37" s="219" t="s">
        <v>295</v>
      </c>
      <c r="B37" s="219" t="s">
        <v>551</v>
      </c>
      <c r="C37" s="219" t="s">
        <v>552</v>
      </c>
      <c r="D37" s="219" t="s">
        <v>532</v>
      </c>
      <c r="E37" s="219">
        <v>8</v>
      </c>
      <c r="F37" s="219" t="s">
        <v>533</v>
      </c>
      <c r="G37" s="114"/>
      <c r="H37" s="230" t="s">
        <v>303</v>
      </c>
      <c r="I37" s="135">
        <v>1</v>
      </c>
      <c r="J37" s="135" t="s">
        <v>44</v>
      </c>
      <c r="K37" s="13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114"/>
      <c r="AA37" s="114"/>
      <c r="AB37" s="114"/>
      <c r="AC37" s="114"/>
      <c r="AD37" s="114"/>
      <c r="AE37" s="114"/>
    </row>
    <row r="38" spans="1:31" s="124" customFormat="1" ht="15" hidden="1" thickBot="1" x14ac:dyDescent="0.4">
      <c r="A38" s="216" t="s">
        <v>295</v>
      </c>
      <c r="B38" s="216" t="s">
        <v>551</v>
      </c>
      <c r="C38" s="216" t="s">
        <v>552</v>
      </c>
      <c r="D38" s="216" t="s">
        <v>532</v>
      </c>
      <c r="E38" s="216">
        <v>9</v>
      </c>
      <c r="F38" s="216" t="s">
        <v>533</v>
      </c>
    </row>
    <row r="39" spans="1:31" ht="18.5" hidden="1" x14ac:dyDescent="0.35">
      <c r="A39" s="215" t="s">
        <v>295</v>
      </c>
      <c r="B39" s="215" t="s">
        <v>554</v>
      </c>
      <c r="C39" s="215" t="s">
        <v>555</v>
      </c>
      <c r="D39" s="215" t="s">
        <v>532</v>
      </c>
      <c r="E39" s="215">
        <v>1</v>
      </c>
      <c r="F39" s="215" t="s">
        <v>533</v>
      </c>
      <c r="H39" s="222" t="s">
        <v>556</v>
      </c>
      <c r="I39" s="222"/>
      <c r="J39" s="222"/>
      <c r="K39" s="222"/>
      <c r="M39" s="214"/>
      <c r="N39" s="214"/>
      <c r="O39" s="214"/>
      <c r="P39" s="214"/>
      <c r="R39" s="214"/>
      <c r="S39" s="214"/>
      <c r="T39" s="214"/>
      <c r="U39" s="214"/>
      <c r="W39" s="214"/>
      <c r="X39" s="214"/>
      <c r="Y39" s="214"/>
      <c r="Z39" s="214"/>
      <c r="AB39" s="214"/>
      <c r="AC39" s="214"/>
      <c r="AD39" s="214"/>
      <c r="AE39" s="214"/>
    </row>
    <row r="40" spans="1:31" ht="15" hidden="1" customHeight="1" x14ac:dyDescent="0.35">
      <c r="A40" s="215" t="s">
        <v>295</v>
      </c>
      <c r="B40" s="215" t="s">
        <v>554</v>
      </c>
      <c r="C40" s="215" t="s">
        <v>555</v>
      </c>
      <c r="D40" s="215" t="s">
        <v>532</v>
      </c>
      <c r="E40" s="215">
        <v>2</v>
      </c>
      <c r="F40" s="215" t="s">
        <v>533</v>
      </c>
      <c r="H40" s="100" t="s">
        <v>535</v>
      </c>
      <c r="I40" s="100" t="s">
        <v>557</v>
      </c>
      <c r="J40" s="100"/>
      <c r="K40" s="100"/>
    </row>
    <row r="41" spans="1:31" ht="15" hidden="1" customHeight="1" x14ac:dyDescent="0.35">
      <c r="A41" s="215" t="s">
        <v>295</v>
      </c>
      <c r="B41" s="215" t="s">
        <v>554</v>
      </c>
      <c r="C41" s="215" t="s">
        <v>555</v>
      </c>
      <c r="D41" s="215" t="s">
        <v>532</v>
      </c>
      <c r="E41" s="215">
        <v>3</v>
      </c>
      <c r="F41" s="215" t="s">
        <v>533</v>
      </c>
      <c r="H41" s="115" t="s">
        <v>537</v>
      </c>
      <c r="I41" s="115" t="s">
        <v>558</v>
      </c>
      <c r="J41" s="115" t="s">
        <v>539</v>
      </c>
      <c r="K41" s="115">
        <v>1200</v>
      </c>
    </row>
    <row r="42" spans="1:31" hidden="1" x14ac:dyDescent="0.35">
      <c r="A42" s="215" t="s">
        <v>295</v>
      </c>
      <c r="B42" s="215" t="s">
        <v>554</v>
      </c>
      <c r="C42" s="215" t="s">
        <v>555</v>
      </c>
      <c r="D42" s="215" t="s">
        <v>532</v>
      </c>
      <c r="E42" s="215">
        <v>4</v>
      </c>
      <c r="F42" s="215" t="s">
        <v>533</v>
      </c>
      <c r="H42" s="115" t="s">
        <v>90</v>
      </c>
      <c r="I42" s="115">
        <v>2000</v>
      </c>
      <c r="J42" s="115" t="s">
        <v>540</v>
      </c>
      <c r="K42" s="115">
        <v>6</v>
      </c>
    </row>
    <row r="43" spans="1:31" hidden="1" x14ac:dyDescent="0.35">
      <c r="A43" s="215" t="s">
        <v>295</v>
      </c>
      <c r="B43" s="215" t="s">
        <v>554</v>
      </c>
      <c r="C43" s="215" t="s">
        <v>555</v>
      </c>
      <c r="D43" s="215" t="s">
        <v>532</v>
      </c>
      <c r="E43" s="215">
        <v>5</v>
      </c>
      <c r="F43" s="215" t="s">
        <v>533</v>
      </c>
      <c r="H43" s="136" t="s">
        <v>300</v>
      </c>
      <c r="I43" s="137" t="s">
        <v>541</v>
      </c>
      <c r="J43" s="137" t="s">
        <v>302</v>
      </c>
      <c r="K43" s="138" t="s">
        <v>542</v>
      </c>
    </row>
    <row r="44" spans="1:31" hidden="1" x14ac:dyDescent="0.35">
      <c r="A44" s="215" t="s">
        <v>295</v>
      </c>
      <c r="B44" s="215" t="s">
        <v>554</v>
      </c>
      <c r="C44" s="215" t="s">
        <v>555</v>
      </c>
      <c r="D44" s="215" t="s">
        <v>532</v>
      </c>
      <c r="E44" s="215">
        <v>6</v>
      </c>
      <c r="F44" s="215" t="s">
        <v>533</v>
      </c>
      <c r="H44" s="50" t="s">
        <v>88</v>
      </c>
      <c r="I44" s="134">
        <v>150</v>
      </c>
      <c r="J44" s="134">
        <f>I44*I46</f>
        <v>150</v>
      </c>
      <c r="K44" s="149">
        <f>J44</f>
        <v>150</v>
      </c>
    </row>
    <row r="45" spans="1:31" hidden="1" x14ac:dyDescent="0.35">
      <c r="A45" s="215" t="s">
        <v>295</v>
      </c>
      <c r="B45" s="215" t="s">
        <v>554</v>
      </c>
      <c r="C45" s="215" t="s">
        <v>555</v>
      </c>
      <c r="D45" s="215" t="s">
        <v>532</v>
      </c>
      <c r="E45" s="215">
        <v>7</v>
      </c>
      <c r="F45" s="215" t="s">
        <v>533</v>
      </c>
      <c r="H45" s="62" t="s">
        <v>89</v>
      </c>
      <c r="I45" s="72">
        <v>0.01</v>
      </c>
      <c r="J45" s="72">
        <f>IF(J46="1.25m",($I45*I46)-(SUM(QuadCoreMass,CS125Mass)*I46),$I45*I46)</f>
        <v>0.01</v>
      </c>
      <c r="K45" s="150">
        <f>J45</f>
        <v>0.01</v>
      </c>
    </row>
    <row r="46" spans="1:31" hidden="1" x14ac:dyDescent="0.35">
      <c r="A46" s="215" t="s">
        <v>295</v>
      </c>
      <c r="B46" s="215" t="s">
        <v>554</v>
      </c>
      <c r="C46" s="215" t="s">
        <v>555</v>
      </c>
      <c r="D46" s="215" t="s">
        <v>532</v>
      </c>
      <c r="E46" s="215">
        <v>8</v>
      </c>
      <c r="F46" s="215" t="s">
        <v>533</v>
      </c>
      <c r="H46" s="230" t="s">
        <v>303</v>
      </c>
      <c r="I46" s="135">
        <v>1</v>
      </c>
      <c r="J46" s="135" t="s">
        <v>44</v>
      </c>
      <c r="K46" s="134"/>
    </row>
    <row r="47" spans="1:31" s="124" customFormat="1" ht="15" hidden="1" thickBot="1" x14ac:dyDescent="0.4">
      <c r="A47" s="216" t="s">
        <v>295</v>
      </c>
      <c r="B47" s="216" t="s">
        <v>554</v>
      </c>
      <c r="C47" s="216" t="s">
        <v>555</v>
      </c>
      <c r="D47" s="216" t="s">
        <v>532</v>
      </c>
      <c r="E47" s="216">
        <v>9</v>
      </c>
      <c r="F47" s="216" t="s">
        <v>533</v>
      </c>
    </row>
    <row r="48" spans="1:31" ht="18.75" hidden="1" customHeight="1" x14ac:dyDescent="0.45">
      <c r="A48" s="215" t="s">
        <v>295</v>
      </c>
      <c r="B48" s="215" t="s">
        <v>559</v>
      </c>
      <c r="C48" s="215" t="s">
        <v>560</v>
      </c>
      <c r="D48" s="215" t="s">
        <v>422</v>
      </c>
      <c r="E48" s="215">
        <v>1</v>
      </c>
      <c r="F48" s="215" t="s">
        <v>422</v>
      </c>
      <c r="H48" s="116" t="s">
        <v>100</v>
      </c>
      <c r="I48" s="116"/>
      <c r="J48" s="116"/>
      <c r="K48" s="116"/>
    </row>
    <row r="49" spans="1:11" ht="15" hidden="1" customHeight="1" x14ac:dyDescent="0.35">
      <c r="A49" s="215" t="s">
        <v>295</v>
      </c>
      <c r="B49" s="215" t="s">
        <v>559</v>
      </c>
      <c r="C49" s="215" t="s">
        <v>560</v>
      </c>
      <c r="D49" s="215" t="s">
        <v>422</v>
      </c>
      <c r="E49" s="215">
        <v>2</v>
      </c>
      <c r="F49" s="215" t="s">
        <v>422</v>
      </c>
      <c r="H49" s="115" t="s">
        <v>535</v>
      </c>
      <c r="I49" s="115" t="s">
        <v>318</v>
      </c>
      <c r="J49" s="115"/>
      <c r="K49" s="115"/>
    </row>
    <row r="50" spans="1:11" ht="15" hidden="1" customHeight="1" x14ac:dyDescent="0.35">
      <c r="A50" s="215" t="s">
        <v>295</v>
      </c>
      <c r="B50" s="215" t="s">
        <v>559</v>
      </c>
      <c r="C50" s="215" t="s">
        <v>560</v>
      </c>
      <c r="D50" s="215" t="s">
        <v>422</v>
      </c>
      <c r="E50" s="215">
        <v>3</v>
      </c>
      <c r="F50" s="215" t="s">
        <v>422</v>
      </c>
      <c r="H50" s="115" t="s">
        <v>537</v>
      </c>
      <c r="I50" s="115" t="s">
        <v>670</v>
      </c>
      <c r="J50" s="115" t="s">
        <v>539</v>
      </c>
      <c r="K50" s="115">
        <v>2200</v>
      </c>
    </row>
    <row r="51" spans="1:11" hidden="1" x14ac:dyDescent="0.35">
      <c r="A51" s="219" t="s">
        <v>295</v>
      </c>
      <c r="B51" s="219" t="s">
        <v>559</v>
      </c>
      <c r="C51" s="219" t="s">
        <v>560</v>
      </c>
      <c r="D51" s="219" t="s">
        <v>422</v>
      </c>
      <c r="E51" s="219">
        <v>4</v>
      </c>
      <c r="F51" s="219" t="s">
        <v>422</v>
      </c>
      <c r="G51" s="114"/>
      <c r="H51" s="115" t="s">
        <v>90</v>
      </c>
      <c r="I51" s="115">
        <v>2000</v>
      </c>
      <c r="J51" s="115" t="s">
        <v>540</v>
      </c>
      <c r="K51" s="115">
        <v>8</v>
      </c>
    </row>
    <row r="52" spans="1:11" hidden="1" x14ac:dyDescent="0.35">
      <c r="A52" s="219" t="s">
        <v>295</v>
      </c>
      <c r="B52" s="219" t="s">
        <v>559</v>
      </c>
      <c r="C52" s="219" t="s">
        <v>560</v>
      </c>
      <c r="D52" s="219" t="s">
        <v>422</v>
      </c>
      <c r="E52" s="219">
        <v>5</v>
      </c>
      <c r="F52" s="219" t="s">
        <v>422</v>
      </c>
      <c r="G52" s="114"/>
      <c r="H52" s="136" t="s">
        <v>300</v>
      </c>
      <c r="I52" s="137" t="s">
        <v>541</v>
      </c>
      <c r="J52" s="137" t="s">
        <v>302</v>
      </c>
      <c r="K52" s="138" t="s">
        <v>542</v>
      </c>
    </row>
    <row r="53" spans="1:11" hidden="1" x14ac:dyDescent="0.35">
      <c r="A53" s="215" t="s">
        <v>295</v>
      </c>
      <c r="B53" s="215" t="s">
        <v>559</v>
      </c>
      <c r="C53" s="215" t="s">
        <v>560</v>
      </c>
      <c r="D53" s="215" t="s">
        <v>422</v>
      </c>
      <c r="E53" s="215">
        <v>6</v>
      </c>
      <c r="F53" s="215" t="s">
        <v>422</v>
      </c>
      <c r="H53" s="50" t="s">
        <v>282</v>
      </c>
      <c r="I53" s="134">
        <v>1000</v>
      </c>
      <c r="J53" s="134">
        <f>I53*I56</f>
        <v>500</v>
      </c>
      <c r="K53" s="153">
        <f>J53</f>
        <v>500</v>
      </c>
    </row>
    <row r="54" spans="1:11" hidden="1" x14ac:dyDescent="0.35">
      <c r="A54" s="215" t="s">
        <v>295</v>
      </c>
      <c r="B54" s="215" t="s">
        <v>559</v>
      </c>
      <c r="C54" s="215" t="s">
        <v>560</v>
      </c>
      <c r="D54" s="215" t="s">
        <v>422</v>
      </c>
      <c r="E54" s="215">
        <v>7</v>
      </c>
      <c r="F54" s="215" t="s">
        <v>422</v>
      </c>
      <c r="H54" s="50" t="s">
        <v>88</v>
      </c>
      <c r="I54" s="134">
        <v>880</v>
      </c>
      <c r="J54" s="134">
        <f>I54*I56</f>
        <v>440</v>
      </c>
      <c r="K54" s="149">
        <f>J54</f>
        <v>440</v>
      </c>
    </row>
    <row r="55" spans="1:11" hidden="1" x14ac:dyDescent="0.35">
      <c r="A55" s="215" t="s">
        <v>295</v>
      </c>
      <c r="B55" s="215" t="s">
        <v>559</v>
      </c>
      <c r="C55" s="215" t="s">
        <v>560</v>
      </c>
      <c r="D55" s="215" t="s">
        <v>422</v>
      </c>
      <c r="E55" s="215">
        <v>8</v>
      </c>
      <c r="F55" s="215" t="s">
        <v>422</v>
      </c>
      <c r="H55" s="62" t="s">
        <v>89</v>
      </c>
      <c r="I55" s="72">
        <v>0.05</v>
      </c>
      <c r="J55" s="72">
        <f>IF(J56="1.25m",($I55*I56)-(SUM(QuadCoreMass,CS125Mass)*I56),$I55*I56)</f>
        <v>2.5000000000000001E-2</v>
      </c>
      <c r="K55" s="150">
        <f>J55</f>
        <v>2.5000000000000001E-2</v>
      </c>
    </row>
    <row r="56" spans="1:11" hidden="1" x14ac:dyDescent="0.35">
      <c r="A56" s="215" t="s">
        <v>295</v>
      </c>
      <c r="B56" s="215" t="s">
        <v>559</v>
      </c>
      <c r="C56" s="215" t="s">
        <v>560</v>
      </c>
      <c r="D56" s="215" t="s">
        <v>422</v>
      </c>
      <c r="E56" s="215">
        <v>9</v>
      </c>
      <c r="F56" s="215" t="s">
        <v>422</v>
      </c>
      <c r="H56" s="230" t="s">
        <v>303</v>
      </c>
      <c r="I56" s="135">
        <v>0.5</v>
      </c>
      <c r="J56" s="114"/>
      <c r="K56" s="134"/>
    </row>
    <row r="57" spans="1:11" s="124" customFormat="1" ht="15" hidden="1" thickBot="1" x14ac:dyDescent="0.4">
      <c r="A57" s="216" t="s">
        <v>295</v>
      </c>
      <c r="B57" s="216" t="s">
        <v>559</v>
      </c>
      <c r="C57" s="216" t="s">
        <v>560</v>
      </c>
      <c r="D57" s="216" t="s">
        <v>422</v>
      </c>
      <c r="E57" s="216">
        <v>10</v>
      </c>
      <c r="F57" s="216" t="s">
        <v>422</v>
      </c>
      <c r="I57" s="131"/>
      <c r="J57" s="131"/>
      <c r="K57" s="131"/>
    </row>
    <row r="58" spans="1:11" ht="18.75" hidden="1" customHeight="1" x14ac:dyDescent="0.45">
      <c r="A58" s="215" t="s">
        <v>295</v>
      </c>
      <c r="B58" s="215" t="s">
        <v>561</v>
      </c>
      <c r="C58" s="215" t="s">
        <v>562</v>
      </c>
      <c r="D58" s="215" t="s">
        <v>422</v>
      </c>
      <c r="E58" s="215">
        <v>1</v>
      </c>
      <c r="F58" s="215" t="s">
        <v>422</v>
      </c>
      <c r="H58" s="116" t="s">
        <v>356</v>
      </c>
      <c r="I58" s="116"/>
      <c r="J58" s="116"/>
      <c r="K58" s="116"/>
    </row>
    <row r="59" spans="1:11" hidden="1" x14ac:dyDescent="0.35">
      <c r="A59" s="215" t="s">
        <v>295</v>
      </c>
      <c r="B59" s="215" t="s">
        <v>561</v>
      </c>
      <c r="C59" s="215" t="s">
        <v>562</v>
      </c>
      <c r="D59" s="215" t="s">
        <v>422</v>
      </c>
      <c r="E59" s="215">
        <v>2</v>
      </c>
      <c r="F59" s="215" t="s">
        <v>422</v>
      </c>
      <c r="H59" s="115" t="s">
        <v>535</v>
      </c>
      <c r="I59" s="115" t="s">
        <v>50</v>
      </c>
      <c r="J59" s="115"/>
      <c r="K59" s="115"/>
    </row>
    <row r="60" spans="1:11" hidden="1" x14ac:dyDescent="0.35">
      <c r="A60" s="219" t="s">
        <v>295</v>
      </c>
      <c r="B60" s="219" t="s">
        <v>561</v>
      </c>
      <c r="C60" s="219" t="s">
        <v>562</v>
      </c>
      <c r="D60" s="219" t="s">
        <v>422</v>
      </c>
      <c r="E60" s="219">
        <v>3</v>
      </c>
      <c r="F60" s="219" t="s">
        <v>422</v>
      </c>
      <c r="G60" s="114"/>
      <c r="H60" s="115" t="s">
        <v>537</v>
      </c>
      <c r="I60" s="115" t="s">
        <v>563</v>
      </c>
      <c r="J60" s="115" t="s">
        <v>539</v>
      </c>
      <c r="K60" s="115">
        <v>2250</v>
      </c>
    </row>
    <row r="61" spans="1:11" hidden="1" x14ac:dyDescent="0.35">
      <c r="A61" s="219" t="s">
        <v>295</v>
      </c>
      <c r="B61" s="219" t="s">
        <v>561</v>
      </c>
      <c r="C61" s="219" t="s">
        <v>562</v>
      </c>
      <c r="D61" s="219" t="s">
        <v>422</v>
      </c>
      <c r="E61" s="219">
        <v>4</v>
      </c>
      <c r="F61" s="219" t="s">
        <v>422</v>
      </c>
      <c r="G61" s="114"/>
      <c r="H61" s="115" t="s">
        <v>90</v>
      </c>
      <c r="I61" s="115">
        <v>2000</v>
      </c>
      <c r="J61" s="115" t="s">
        <v>540</v>
      </c>
      <c r="K61" s="115">
        <v>6</v>
      </c>
    </row>
    <row r="62" spans="1:11" hidden="1" x14ac:dyDescent="0.35">
      <c r="A62" s="215" t="s">
        <v>295</v>
      </c>
      <c r="B62" s="215" t="s">
        <v>561</v>
      </c>
      <c r="C62" s="215" t="s">
        <v>562</v>
      </c>
      <c r="D62" s="215" t="s">
        <v>422</v>
      </c>
      <c r="E62" s="215">
        <v>5</v>
      </c>
      <c r="F62" s="215" t="s">
        <v>422</v>
      </c>
      <c r="H62" s="136" t="s">
        <v>300</v>
      </c>
      <c r="I62" s="137" t="s">
        <v>541</v>
      </c>
      <c r="J62" s="137" t="s">
        <v>302</v>
      </c>
      <c r="K62" s="138" t="s">
        <v>542</v>
      </c>
    </row>
    <row r="63" spans="1:11" hidden="1" x14ac:dyDescent="0.35">
      <c r="A63" s="215" t="s">
        <v>295</v>
      </c>
      <c r="B63" s="215" t="s">
        <v>561</v>
      </c>
      <c r="C63" s="215" t="s">
        <v>562</v>
      </c>
      <c r="D63" s="215" t="s">
        <v>422</v>
      </c>
      <c r="E63" s="215">
        <v>6</v>
      </c>
      <c r="F63" s="215" t="s">
        <v>422</v>
      </c>
      <c r="H63" s="50" t="s">
        <v>23</v>
      </c>
      <c r="I63" s="134">
        <v>0.12885094471658504</v>
      </c>
      <c r="J63" s="134">
        <f>I63*I70</f>
        <v>0.12885094471658504</v>
      </c>
      <c r="K63" s="175">
        <f t="shared" ref="K63:K69" si="0">J63</f>
        <v>0.12885094471658504</v>
      </c>
    </row>
    <row r="64" spans="1:11" hidden="1" x14ac:dyDescent="0.35">
      <c r="A64" s="215" t="s">
        <v>295</v>
      </c>
      <c r="B64" s="215" t="s">
        <v>561</v>
      </c>
      <c r="C64" s="215" t="s">
        <v>562</v>
      </c>
      <c r="D64" s="215" t="s">
        <v>422</v>
      </c>
      <c r="E64" s="215">
        <v>7</v>
      </c>
      <c r="F64" s="215" t="s">
        <v>422</v>
      </c>
      <c r="H64" s="50" t="s">
        <v>19</v>
      </c>
      <c r="I64" s="134">
        <v>0.2560747663551402</v>
      </c>
      <c r="J64" s="134">
        <f>I64*I70</f>
        <v>0.2560747663551402</v>
      </c>
      <c r="K64" s="175">
        <f t="shared" si="0"/>
        <v>0.2560747663551402</v>
      </c>
    </row>
    <row r="65" spans="1:11" hidden="1" x14ac:dyDescent="0.35">
      <c r="A65" s="215" t="s">
        <v>295</v>
      </c>
      <c r="B65" s="215" t="s">
        <v>561</v>
      </c>
      <c r="C65" s="215" t="s">
        <v>562</v>
      </c>
      <c r="D65" s="215" t="s">
        <v>422</v>
      </c>
      <c r="E65" s="215">
        <v>8</v>
      </c>
      <c r="F65" s="215" t="s">
        <v>422</v>
      </c>
      <c r="H65" s="50" t="s">
        <v>67</v>
      </c>
      <c r="I65" s="134">
        <v>1.5</v>
      </c>
      <c r="J65" s="134">
        <f>I65*I70</f>
        <v>1.5</v>
      </c>
      <c r="K65" s="173">
        <f t="shared" si="0"/>
        <v>1.5</v>
      </c>
    </row>
    <row r="66" spans="1:11" hidden="1" x14ac:dyDescent="0.35">
      <c r="A66" s="215" t="s">
        <v>295</v>
      </c>
      <c r="B66" s="215" t="s">
        <v>561</v>
      </c>
      <c r="C66" s="215" t="s">
        <v>562</v>
      </c>
      <c r="D66" s="215" t="s">
        <v>422</v>
      </c>
      <c r="E66" s="215">
        <v>9</v>
      </c>
      <c r="F66" s="215" t="s">
        <v>422</v>
      </c>
      <c r="H66" s="50" t="s">
        <v>25</v>
      </c>
      <c r="I66" s="134">
        <v>2.0714400000000001E-4</v>
      </c>
      <c r="J66" s="134">
        <f>I66*I70</f>
        <v>2.0714400000000001E-4</v>
      </c>
      <c r="K66" s="174">
        <f t="shared" si="0"/>
        <v>2.0714400000000001E-4</v>
      </c>
    </row>
    <row r="67" spans="1:11" ht="15" hidden="1" customHeight="1" x14ac:dyDescent="0.35">
      <c r="A67" s="215" t="s">
        <v>295</v>
      </c>
      <c r="B67" s="215" t="s">
        <v>561</v>
      </c>
      <c r="C67" s="215" t="s">
        <v>562</v>
      </c>
      <c r="D67" s="215" t="s">
        <v>422</v>
      </c>
      <c r="E67" s="215">
        <v>10</v>
      </c>
      <c r="F67" s="215" t="s">
        <v>422</v>
      </c>
      <c r="H67" s="50" t="s">
        <v>359</v>
      </c>
      <c r="I67" s="134"/>
      <c r="J67" s="134">
        <f>I67*I70</f>
        <v>0</v>
      </c>
      <c r="K67" s="153">
        <f t="shared" si="0"/>
        <v>0</v>
      </c>
    </row>
    <row r="68" spans="1:11" ht="15" hidden="1" customHeight="1" x14ac:dyDescent="0.35">
      <c r="A68" s="215" t="s">
        <v>295</v>
      </c>
      <c r="B68" s="215" t="s">
        <v>561</v>
      </c>
      <c r="C68" s="215" t="s">
        <v>562</v>
      </c>
      <c r="D68" s="215" t="s">
        <v>422</v>
      </c>
      <c r="E68" s="215">
        <v>11</v>
      </c>
      <c r="F68" s="215" t="s">
        <v>422</v>
      </c>
      <c r="H68" s="50" t="s">
        <v>88</v>
      </c>
      <c r="I68" s="134">
        <v>750</v>
      </c>
      <c r="J68" s="134">
        <f>I68*I70</f>
        <v>750</v>
      </c>
      <c r="K68" s="149">
        <f t="shared" si="0"/>
        <v>750</v>
      </c>
    </row>
    <row r="69" spans="1:11" ht="15" hidden="1" customHeight="1" x14ac:dyDescent="0.35">
      <c r="A69" s="215" t="s">
        <v>295</v>
      </c>
      <c r="B69" s="215" t="s">
        <v>561</v>
      </c>
      <c r="C69" s="215" t="s">
        <v>562</v>
      </c>
      <c r="D69" s="215" t="s">
        <v>422</v>
      </c>
      <c r="E69" s="215">
        <v>12</v>
      </c>
      <c r="F69" s="215" t="s">
        <v>422</v>
      </c>
      <c r="H69" s="62" t="s">
        <v>89</v>
      </c>
      <c r="I69" s="72">
        <v>0.05</v>
      </c>
      <c r="J69" s="72">
        <f>I69*I70</f>
        <v>0.05</v>
      </c>
      <c r="K69" s="150">
        <f t="shared" si="0"/>
        <v>0.05</v>
      </c>
    </row>
    <row r="70" spans="1:11" ht="15" hidden="1" customHeight="1" x14ac:dyDescent="0.35">
      <c r="A70" s="219" t="s">
        <v>295</v>
      </c>
      <c r="B70" s="219" t="s">
        <v>561</v>
      </c>
      <c r="C70" s="219" t="s">
        <v>562</v>
      </c>
      <c r="D70" s="219" t="s">
        <v>422</v>
      </c>
      <c r="E70" s="219">
        <v>13</v>
      </c>
      <c r="F70" s="219" t="s">
        <v>422</v>
      </c>
      <c r="G70" s="114"/>
      <c r="H70" s="230" t="s">
        <v>303</v>
      </c>
      <c r="I70" s="135">
        <v>1</v>
      </c>
      <c r="J70" s="114"/>
      <c r="K70" s="134"/>
    </row>
    <row r="71" spans="1:11" s="124" customFormat="1" ht="15.75" hidden="1" customHeight="1" thickBot="1" x14ac:dyDescent="0.4">
      <c r="A71" s="216" t="s">
        <v>295</v>
      </c>
      <c r="B71" s="216" t="s">
        <v>561</v>
      </c>
      <c r="C71" s="216" t="s">
        <v>562</v>
      </c>
      <c r="D71" s="216" t="s">
        <v>422</v>
      </c>
      <c r="E71" s="216">
        <v>14</v>
      </c>
      <c r="F71" s="216" t="s">
        <v>422</v>
      </c>
    </row>
    <row r="72" spans="1:11" ht="18.75" hidden="1" customHeight="1" x14ac:dyDescent="0.45">
      <c r="A72" s="215" t="s">
        <v>295</v>
      </c>
      <c r="B72" s="215" t="s">
        <v>564</v>
      </c>
      <c r="C72" s="215" t="s">
        <v>565</v>
      </c>
      <c r="D72" s="215" t="s">
        <v>422</v>
      </c>
      <c r="E72" s="215">
        <v>1</v>
      </c>
      <c r="F72" s="215" t="s">
        <v>422</v>
      </c>
      <c r="H72" s="116" t="s">
        <v>360</v>
      </c>
      <c r="I72" s="116"/>
      <c r="J72" s="116"/>
      <c r="K72" s="116"/>
    </row>
    <row r="73" spans="1:11" hidden="1" x14ac:dyDescent="0.35">
      <c r="A73" s="215" t="s">
        <v>295</v>
      </c>
      <c r="B73" s="215" t="s">
        <v>564</v>
      </c>
      <c r="C73" s="215" t="s">
        <v>565</v>
      </c>
      <c r="D73" s="215" t="s">
        <v>422</v>
      </c>
      <c r="E73" s="215">
        <v>2</v>
      </c>
      <c r="F73" s="215" t="s">
        <v>422</v>
      </c>
      <c r="H73" s="115" t="s">
        <v>535</v>
      </c>
      <c r="I73" s="115" t="s">
        <v>356</v>
      </c>
      <c r="J73" s="115"/>
      <c r="K73" s="115"/>
    </row>
    <row r="74" spans="1:11" ht="18" hidden="1" customHeight="1" x14ac:dyDescent="0.35">
      <c r="A74" s="215" t="s">
        <v>295</v>
      </c>
      <c r="B74" s="215" t="s">
        <v>564</v>
      </c>
      <c r="C74" s="215" t="s">
        <v>565</v>
      </c>
      <c r="D74" s="215" t="s">
        <v>422</v>
      </c>
      <c r="E74" s="215">
        <v>3</v>
      </c>
      <c r="F74" s="215" t="s">
        <v>422</v>
      </c>
      <c r="H74" s="115" t="s">
        <v>537</v>
      </c>
      <c r="I74" s="115" t="s">
        <v>566</v>
      </c>
      <c r="J74" s="115" t="s">
        <v>539</v>
      </c>
      <c r="K74" s="115">
        <v>6800</v>
      </c>
    </row>
    <row r="75" spans="1:11" ht="18.75" hidden="1" customHeight="1" x14ac:dyDescent="0.35">
      <c r="A75" s="215" t="s">
        <v>295</v>
      </c>
      <c r="B75" s="215" t="s">
        <v>564</v>
      </c>
      <c r="C75" s="215" t="s">
        <v>565</v>
      </c>
      <c r="D75" s="215" t="s">
        <v>422</v>
      </c>
      <c r="E75" s="215">
        <v>4</v>
      </c>
      <c r="F75" s="215" t="s">
        <v>422</v>
      </c>
      <c r="H75" s="115" t="s">
        <v>90</v>
      </c>
      <c r="I75" s="115"/>
      <c r="J75" s="115" t="s">
        <v>540</v>
      </c>
      <c r="K75" s="115"/>
    </row>
    <row r="76" spans="1:11" hidden="1" x14ac:dyDescent="0.35">
      <c r="A76" s="215" t="s">
        <v>295</v>
      </c>
      <c r="B76" s="215" t="s">
        <v>564</v>
      </c>
      <c r="C76" s="215" t="s">
        <v>565</v>
      </c>
      <c r="D76" s="215" t="s">
        <v>422</v>
      </c>
      <c r="E76" s="215">
        <v>5</v>
      </c>
      <c r="F76" s="215" t="s">
        <v>422</v>
      </c>
      <c r="H76" s="136" t="s">
        <v>300</v>
      </c>
      <c r="I76" s="137" t="s">
        <v>541</v>
      </c>
      <c r="J76" s="137" t="s">
        <v>302</v>
      </c>
      <c r="K76" s="138" t="s">
        <v>542</v>
      </c>
    </row>
    <row r="77" spans="1:11" ht="15" hidden="1" customHeight="1" x14ac:dyDescent="0.35">
      <c r="A77" s="219" t="s">
        <v>295</v>
      </c>
      <c r="B77" s="219" t="s">
        <v>564</v>
      </c>
      <c r="C77" s="219" t="s">
        <v>565</v>
      </c>
      <c r="D77" s="219" t="s">
        <v>422</v>
      </c>
      <c r="E77" s="219">
        <v>6</v>
      </c>
      <c r="F77" s="219" t="s">
        <v>422</v>
      </c>
      <c r="G77" s="114"/>
      <c r="H77" s="50" t="s">
        <v>23</v>
      </c>
      <c r="I77" s="169">
        <f t="shared" ref="I77:I83" si="1">K63</f>
        <v>0.12885094471658504</v>
      </c>
      <c r="J77" s="134">
        <f t="shared" ref="J77:J83" si="2">I77*$I$84</f>
        <v>0.83753114065780276</v>
      </c>
      <c r="K77" s="175">
        <f t="shared" ref="K77:K83" si="3">J77</f>
        <v>0.83753114065780276</v>
      </c>
    </row>
    <row r="78" spans="1:11" ht="15" hidden="1" customHeight="1" x14ac:dyDescent="0.35">
      <c r="A78" s="215" t="s">
        <v>295</v>
      </c>
      <c r="B78" s="215" t="s">
        <v>564</v>
      </c>
      <c r="C78" s="215" t="s">
        <v>565</v>
      </c>
      <c r="D78" s="215" t="s">
        <v>422</v>
      </c>
      <c r="E78" s="215">
        <v>7</v>
      </c>
      <c r="F78" s="215" t="s">
        <v>422</v>
      </c>
      <c r="H78" s="50" t="s">
        <v>19</v>
      </c>
      <c r="I78" s="169">
        <f t="shared" si="1"/>
        <v>0.2560747663551402</v>
      </c>
      <c r="J78" s="134">
        <f t="shared" si="2"/>
        <v>1.6644859813084114</v>
      </c>
      <c r="K78" s="175">
        <f t="shared" si="3"/>
        <v>1.6644859813084114</v>
      </c>
    </row>
    <row r="79" spans="1:11" hidden="1" x14ac:dyDescent="0.35">
      <c r="A79" s="219" t="s">
        <v>295</v>
      </c>
      <c r="B79" s="219" t="s">
        <v>564</v>
      </c>
      <c r="C79" s="219" t="s">
        <v>565</v>
      </c>
      <c r="D79" s="219" t="s">
        <v>422</v>
      </c>
      <c r="E79" s="219">
        <v>8</v>
      </c>
      <c r="F79" s="219" t="s">
        <v>422</v>
      </c>
      <c r="G79" s="114"/>
      <c r="H79" s="50" t="s">
        <v>67</v>
      </c>
      <c r="I79" s="169">
        <f t="shared" si="1"/>
        <v>1.5</v>
      </c>
      <c r="J79" s="134">
        <f t="shared" si="2"/>
        <v>9.75</v>
      </c>
      <c r="K79" s="149">
        <f t="shared" si="3"/>
        <v>9.75</v>
      </c>
    </row>
    <row r="80" spans="1:11" hidden="1" x14ac:dyDescent="0.35">
      <c r="A80" s="219" t="s">
        <v>295</v>
      </c>
      <c r="B80" s="219" t="s">
        <v>564</v>
      </c>
      <c r="C80" s="219" t="s">
        <v>565</v>
      </c>
      <c r="D80" s="219" t="s">
        <v>422</v>
      </c>
      <c r="E80" s="215">
        <v>9</v>
      </c>
      <c r="F80" s="219" t="s">
        <v>422</v>
      </c>
      <c r="G80" s="114"/>
      <c r="H80" s="50" t="s">
        <v>25</v>
      </c>
      <c r="I80" s="169">
        <f t="shared" si="1"/>
        <v>2.0714400000000001E-4</v>
      </c>
      <c r="J80" s="134">
        <f t="shared" si="2"/>
        <v>1.3464360000000001E-3</v>
      </c>
      <c r="K80" s="196">
        <f t="shared" si="3"/>
        <v>1.3464360000000001E-3</v>
      </c>
    </row>
    <row r="81" spans="1:11" hidden="1" x14ac:dyDescent="0.35">
      <c r="A81" s="215" t="s">
        <v>295</v>
      </c>
      <c r="B81" s="215" t="s">
        <v>564</v>
      </c>
      <c r="C81" s="215" t="s">
        <v>565</v>
      </c>
      <c r="D81" s="215" t="s">
        <v>422</v>
      </c>
      <c r="E81" s="215">
        <v>10</v>
      </c>
      <c r="F81" s="215" t="s">
        <v>422</v>
      </c>
      <c r="H81" s="62" t="s">
        <v>359</v>
      </c>
      <c r="I81" s="176">
        <f t="shared" si="1"/>
        <v>0</v>
      </c>
      <c r="J81" s="72">
        <f t="shared" si="2"/>
        <v>0</v>
      </c>
      <c r="K81" s="159">
        <f t="shared" si="3"/>
        <v>0</v>
      </c>
    </row>
    <row r="82" spans="1:11" hidden="1" x14ac:dyDescent="0.35">
      <c r="A82" s="215" t="s">
        <v>295</v>
      </c>
      <c r="B82" s="215" t="s">
        <v>564</v>
      </c>
      <c r="C82" s="215" t="s">
        <v>565</v>
      </c>
      <c r="D82" s="215" t="s">
        <v>422</v>
      </c>
      <c r="E82" s="215">
        <v>11</v>
      </c>
      <c r="F82" s="215" t="s">
        <v>422</v>
      </c>
      <c r="H82" s="47" t="s">
        <v>88</v>
      </c>
      <c r="I82" s="195">
        <f t="shared" si="1"/>
        <v>750</v>
      </c>
      <c r="J82" s="179">
        <f t="shared" si="2"/>
        <v>4875</v>
      </c>
      <c r="K82" s="191">
        <f t="shared" si="3"/>
        <v>4875</v>
      </c>
    </row>
    <row r="83" spans="1:11" hidden="1" x14ac:dyDescent="0.35">
      <c r="A83" s="215" t="s">
        <v>295</v>
      </c>
      <c r="B83" s="215" t="s">
        <v>564</v>
      </c>
      <c r="C83" s="215" t="s">
        <v>565</v>
      </c>
      <c r="D83" s="215" t="s">
        <v>422</v>
      </c>
      <c r="E83" s="215">
        <v>12</v>
      </c>
      <c r="F83" s="215" t="s">
        <v>422</v>
      </c>
      <c r="H83" s="62" t="s">
        <v>89</v>
      </c>
      <c r="I83" s="176">
        <f t="shared" si="1"/>
        <v>0.05</v>
      </c>
      <c r="J83" s="72">
        <f t="shared" si="2"/>
        <v>0.32500000000000001</v>
      </c>
      <c r="K83" s="150">
        <f t="shared" si="3"/>
        <v>0.32500000000000001</v>
      </c>
    </row>
    <row r="84" spans="1:11" hidden="1" x14ac:dyDescent="0.35">
      <c r="A84" s="215" t="s">
        <v>295</v>
      </c>
      <c r="B84" s="215" t="s">
        <v>564</v>
      </c>
      <c r="C84" s="215" t="s">
        <v>565</v>
      </c>
      <c r="D84" s="215" t="s">
        <v>422</v>
      </c>
      <c r="E84" s="215">
        <v>13</v>
      </c>
      <c r="F84" s="215" t="s">
        <v>422</v>
      </c>
      <c r="H84" s="230" t="s">
        <v>303</v>
      </c>
      <c r="I84" s="135">
        <v>6.5</v>
      </c>
      <c r="J84" s="114"/>
      <c r="K84" s="114"/>
    </row>
    <row r="85" spans="1:11" s="124" customFormat="1" ht="15" hidden="1" thickBot="1" x14ac:dyDescent="0.4">
      <c r="A85" s="216" t="s">
        <v>295</v>
      </c>
      <c r="B85" s="216" t="s">
        <v>564</v>
      </c>
      <c r="C85" s="216" t="s">
        <v>565</v>
      </c>
      <c r="D85" s="216" t="s">
        <v>422</v>
      </c>
      <c r="E85" s="216">
        <v>14</v>
      </c>
      <c r="F85" s="216" t="s">
        <v>422</v>
      </c>
    </row>
    <row r="86" spans="1:11" s="114" customFormat="1" ht="18.75" hidden="1" customHeight="1" x14ac:dyDescent="0.45">
      <c r="A86" s="215" t="s">
        <v>295</v>
      </c>
      <c r="B86" s="215" t="s">
        <v>567</v>
      </c>
      <c r="C86" s="215" t="s">
        <v>568</v>
      </c>
      <c r="D86" s="215" t="s">
        <v>533</v>
      </c>
      <c r="E86" s="215">
        <v>1</v>
      </c>
      <c r="F86" s="215" t="s">
        <v>422</v>
      </c>
      <c r="G86" s="204"/>
      <c r="H86" s="116" t="s">
        <v>569</v>
      </c>
      <c r="I86" s="116"/>
      <c r="J86" s="122"/>
      <c r="K86" s="122"/>
    </row>
    <row r="87" spans="1:11" s="114" customFormat="1" hidden="1" x14ac:dyDescent="0.35">
      <c r="A87" s="215" t="s">
        <v>295</v>
      </c>
      <c r="B87" s="215" t="s">
        <v>567</v>
      </c>
      <c r="C87" s="215" t="s">
        <v>568</v>
      </c>
      <c r="D87" s="215" t="s">
        <v>533</v>
      </c>
      <c r="E87" s="215">
        <v>2</v>
      </c>
      <c r="F87" s="215" t="s">
        <v>422</v>
      </c>
      <c r="G87" s="204"/>
      <c r="H87" s="115" t="s">
        <v>535</v>
      </c>
      <c r="I87" s="115" t="s">
        <v>570</v>
      </c>
      <c r="J87" s="115"/>
      <c r="K87" s="115"/>
    </row>
    <row r="88" spans="1:11" s="114" customFormat="1" hidden="1" x14ac:dyDescent="0.35">
      <c r="A88" s="215" t="s">
        <v>295</v>
      </c>
      <c r="B88" s="215" t="s">
        <v>567</v>
      </c>
      <c r="C88" s="215" t="s">
        <v>568</v>
      </c>
      <c r="D88" s="215" t="s">
        <v>533</v>
      </c>
      <c r="E88" s="215">
        <v>3</v>
      </c>
      <c r="F88" s="215" t="s">
        <v>422</v>
      </c>
      <c r="G88" s="204"/>
      <c r="H88" s="115" t="s">
        <v>537</v>
      </c>
      <c r="I88" s="115" t="s">
        <v>571</v>
      </c>
      <c r="J88" s="115" t="s">
        <v>539</v>
      </c>
      <c r="K88" s="115">
        <v>4200</v>
      </c>
    </row>
    <row r="89" spans="1:11" s="114" customFormat="1" hidden="1" x14ac:dyDescent="0.35">
      <c r="A89" s="219" t="s">
        <v>295</v>
      </c>
      <c r="B89" s="219" t="s">
        <v>567</v>
      </c>
      <c r="C89" s="219" t="s">
        <v>568</v>
      </c>
      <c r="D89" s="219" t="s">
        <v>533</v>
      </c>
      <c r="E89" s="215">
        <v>4</v>
      </c>
      <c r="F89" s="219" t="s">
        <v>422</v>
      </c>
      <c r="H89" s="115" t="s">
        <v>90</v>
      </c>
      <c r="I89" s="115">
        <v>3400</v>
      </c>
      <c r="J89" s="115" t="s">
        <v>540</v>
      </c>
      <c r="K89" s="115">
        <v>9</v>
      </c>
    </row>
    <row r="90" spans="1:11" s="114" customFormat="1" hidden="1" x14ac:dyDescent="0.35">
      <c r="A90" s="215" t="s">
        <v>295</v>
      </c>
      <c r="B90" s="215" t="s">
        <v>567</v>
      </c>
      <c r="C90" s="215" t="s">
        <v>568</v>
      </c>
      <c r="D90" s="215" t="s">
        <v>533</v>
      </c>
      <c r="E90" s="215">
        <v>5</v>
      </c>
      <c r="F90" s="215" t="s">
        <v>422</v>
      </c>
      <c r="G90" s="204"/>
      <c r="H90" s="136" t="s">
        <v>300</v>
      </c>
      <c r="I90" s="137" t="s">
        <v>541</v>
      </c>
      <c r="J90" s="137" t="s">
        <v>302</v>
      </c>
      <c r="K90" s="138" t="s">
        <v>542</v>
      </c>
    </row>
    <row r="91" spans="1:11" s="114" customFormat="1" ht="15" hidden="1" customHeight="1" x14ac:dyDescent="0.35">
      <c r="A91" s="215" t="s">
        <v>295</v>
      </c>
      <c r="B91" s="215" t="s">
        <v>567</v>
      </c>
      <c r="C91" s="215" t="s">
        <v>568</v>
      </c>
      <c r="D91" s="215" t="s">
        <v>533</v>
      </c>
      <c r="E91" s="215">
        <v>6</v>
      </c>
      <c r="F91" s="215" t="s">
        <v>422</v>
      </c>
      <c r="G91" s="204"/>
      <c r="H91" s="50" t="s">
        <v>88</v>
      </c>
      <c r="I91" s="134">
        <v>1200</v>
      </c>
      <c r="J91" s="134">
        <f>I91*I93</f>
        <v>1200</v>
      </c>
      <c r="K91" s="149">
        <f>J91</f>
        <v>1200</v>
      </c>
    </row>
    <row r="92" spans="1:11" s="114" customFormat="1" ht="15" hidden="1" customHeight="1" x14ac:dyDescent="0.35">
      <c r="A92" s="215" t="s">
        <v>295</v>
      </c>
      <c r="B92" s="215" t="s">
        <v>567</v>
      </c>
      <c r="C92" s="215" t="s">
        <v>568</v>
      </c>
      <c r="D92" s="215" t="s">
        <v>533</v>
      </c>
      <c r="E92" s="215">
        <v>7</v>
      </c>
      <c r="F92" s="215" t="s">
        <v>422</v>
      </c>
      <c r="G92" s="204"/>
      <c r="H92" s="62" t="s">
        <v>89</v>
      </c>
      <c r="I92" s="72">
        <v>0.12</v>
      </c>
      <c r="J92" s="72">
        <f>IF(J93="1.25m",($I92*I93)-(SUM(QuadCoreMass,CS125Mass)*I93),$I92*I93)</f>
        <v>0.12</v>
      </c>
      <c r="K92" s="150">
        <f>J92</f>
        <v>0.12</v>
      </c>
    </row>
    <row r="93" spans="1:11" s="114" customFormat="1" hidden="1" x14ac:dyDescent="0.35">
      <c r="A93" s="215" t="s">
        <v>295</v>
      </c>
      <c r="B93" s="215" t="s">
        <v>567</v>
      </c>
      <c r="C93" s="215" t="s">
        <v>568</v>
      </c>
      <c r="D93" s="215" t="s">
        <v>533</v>
      </c>
      <c r="E93" s="215">
        <v>8</v>
      </c>
      <c r="F93" s="215" t="s">
        <v>422</v>
      </c>
      <c r="G93" s="204"/>
      <c r="H93" s="230" t="s">
        <v>303</v>
      </c>
      <c r="I93" s="135">
        <v>1</v>
      </c>
      <c r="K93" s="134"/>
    </row>
    <row r="94" spans="1:11" s="114" customFormat="1" ht="15" hidden="1" thickBot="1" x14ac:dyDescent="0.4">
      <c r="A94" s="216" t="s">
        <v>295</v>
      </c>
      <c r="B94" s="216" t="s">
        <v>567</v>
      </c>
      <c r="C94" s="216" t="s">
        <v>568</v>
      </c>
      <c r="D94" s="216" t="s">
        <v>533</v>
      </c>
      <c r="E94" s="216">
        <v>9</v>
      </c>
      <c r="F94" s="216" t="s">
        <v>422</v>
      </c>
      <c r="G94" s="124"/>
      <c r="H94" s="124"/>
      <c r="I94" s="124"/>
      <c r="J94" s="124"/>
      <c r="K94" s="124"/>
    </row>
    <row r="95" spans="1:11" ht="18.75" hidden="1" customHeight="1" x14ac:dyDescent="0.45">
      <c r="A95" s="219" t="s">
        <v>295</v>
      </c>
      <c r="B95" s="219" t="s">
        <v>572</v>
      </c>
      <c r="C95" s="219" t="s">
        <v>573</v>
      </c>
      <c r="D95" s="219" t="s">
        <v>422</v>
      </c>
      <c r="E95" s="219">
        <v>1</v>
      </c>
      <c r="F95" s="219" t="s">
        <v>422</v>
      </c>
      <c r="G95" s="114"/>
      <c r="H95" s="116" t="s">
        <v>574</v>
      </c>
      <c r="I95" s="116"/>
      <c r="J95" s="116"/>
      <c r="K95" s="116"/>
    </row>
    <row r="96" spans="1:11" hidden="1" x14ac:dyDescent="0.35">
      <c r="A96" s="219" t="s">
        <v>295</v>
      </c>
      <c r="B96" s="219" t="s">
        <v>572</v>
      </c>
      <c r="C96" s="219" t="s">
        <v>573</v>
      </c>
      <c r="D96" s="219" t="s">
        <v>422</v>
      </c>
      <c r="E96" s="219">
        <v>2</v>
      </c>
      <c r="F96" s="219" t="s">
        <v>422</v>
      </c>
      <c r="G96" s="114"/>
      <c r="H96" s="115" t="s">
        <v>535</v>
      </c>
      <c r="I96" s="115" t="s">
        <v>575</v>
      </c>
      <c r="J96" s="115"/>
      <c r="K96" s="115"/>
    </row>
    <row r="97" spans="1:31" hidden="1" x14ac:dyDescent="0.35">
      <c r="A97" s="215" t="s">
        <v>295</v>
      </c>
      <c r="B97" s="215" t="s">
        <v>572</v>
      </c>
      <c r="C97" s="215" t="s">
        <v>573</v>
      </c>
      <c r="D97" s="215" t="s">
        <v>422</v>
      </c>
      <c r="E97" s="215">
        <v>3</v>
      </c>
      <c r="F97" s="215" t="s">
        <v>422</v>
      </c>
      <c r="H97" s="115" t="s">
        <v>537</v>
      </c>
      <c r="I97" s="115" t="s">
        <v>576</v>
      </c>
      <c r="J97" s="115" t="s">
        <v>539</v>
      </c>
      <c r="K97" s="115">
        <v>58000</v>
      </c>
    </row>
    <row r="98" spans="1:31" hidden="1" x14ac:dyDescent="0.35">
      <c r="A98" s="215" t="s">
        <v>295</v>
      </c>
      <c r="B98" s="215" t="s">
        <v>572</v>
      </c>
      <c r="C98" s="215" t="s">
        <v>573</v>
      </c>
      <c r="D98" s="215" t="s">
        <v>422</v>
      </c>
      <c r="E98" s="215">
        <v>4</v>
      </c>
      <c r="F98" s="215" t="s">
        <v>422</v>
      </c>
      <c r="H98" s="100" t="s">
        <v>90</v>
      </c>
      <c r="I98" s="115">
        <v>1200</v>
      </c>
      <c r="J98" s="115" t="s">
        <v>540</v>
      </c>
      <c r="K98" s="115">
        <v>8</v>
      </c>
    </row>
    <row r="99" spans="1:31" hidden="1" x14ac:dyDescent="0.35">
      <c r="A99" s="215" t="s">
        <v>295</v>
      </c>
      <c r="B99" s="215" t="s">
        <v>572</v>
      </c>
      <c r="C99" s="215" t="s">
        <v>573</v>
      </c>
      <c r="D99" s="215" t="s">
        <v>422</v>
      </c>
      <c r="E99" s="215">
        <v>5</v>
      </c>
      <c r="F99" s="215" t="s">
        <v>422</v>
      </c>
      <c r="H99" s="136" t="s">
        <v>300</v>
      </c>
      <c r="I99" s="137" t="s">
        <v>541</v>
      </c>
      <c r="J99" s="137" t="s">
        <v>302</v>
      </c>
      <c r="K99" s="138" t="s">
        <v>542</v>
      </c>
    </row>
    <row r="100" spans="1:31" s="114" customFormat="1" hidden="1" x14ac:dyDescent="0.35">
      <c r="A100" s="215" t="s">
        <v>295</v>
      </c>
      <c r="B100" s="215" t="s">
        <v>572</v>
      </c>
      <c r="C100" s="215" t="s">
        <v>573</v>
      </c>
      <c r="D100" s="215" t="s">
        <v>422</v>
      </c>
      <c r="E100" s="215">
        <v>6</v>
      </c>
      <c r="F100" s="215" t="s">
        <v>422</v>
      </c>
      <c r="H100" s="62" t="s">
        <v>282</v>
      </c>
      <c r="I100" s="72">
        <v>0.75</v>
      </c>
      <c r="J100" s="72">
        <f>I100*I103</f>
        <v>0.99750000000000005</v>
      </c>
      <c r="K100" s="154">
        <f>J100</f>
        <v>0.99750000000000005</v>
      </c>
      <c r="M100" s="204"/>
      <c r="N100" s="204"/>
      <c r="O100" s="204"/>
      <c r="P100" s="204"/>
      <c r="R100" s="204"/>
      <c r="S100" s="204"/>
      <c r="T100" s="204"/>
      <c r="U100" s="204"/>
      <c r="W100" s="204"/>
      <c r="X100" s="204"/>
      <c r="Y100" s="204"/>
      <c r="Z100" s="204"/>
      <c r="AA100" s="204"/>
      <c r="AB100" s="204"/>
      <c r="AC100" s="204"/>
      <c r="AD100" s="204"/>
      <c r="AE100" s="204"/>
    </row>
    <row r="101" spans="1:31" hidden="1" x14ac:dyDescent="0.35">
      <c r="A101" s="215" t="s">
        <v>295</v>
      </c>
      <c r="B101" s="215" t="s">
        <v>572</v>
      </c>
      <c r="C101" s="215" t="s">
        <v>573</v>
      </c>
      <c r="D101" s="215" t="s">
        <v>422</v>
      </c>
      <c r="E101" s="215">
        <v>7</v>
      </c>
      <c r="F101" s="215" t="s">
        <v>422</v>
      </c>
      <c r="H101" s="50" t="s">
        <v>88</v>
      </c>
      <c r="I101" s="134">
        <v>23300</v>
      </c>
      <c r="J101" s="134">
        <f>I101*I103</f>
        <v>30989</v>
      </c>
      <c r="K101" s="149">
        <f>J101</f>
        <v>30989</v>
      </c>
    </row>
    <row r="102" spans="1:31" s="114" customFormat="1" hidden="1" x14ac:dyDescent="0.35">
      <c r="A102" s="215" t="s">
        <v>295</v>
      </c>
      <c r="B102" s="215" t="s">
        <v>572</v>
      </c>
      <c r="C102" s="215" t="s">
        <v>573</v>
      </c>
      <c r="D102" s="215" t="s">
        <v>422</v>
      </c>
      <c r="E102" s="215">
        <v>8</v>
      </c>
      <c r="F102" s="215" t="s">
        <v>422</v>
      </c>
      <c r="H102" s="62" t="s">
        <v>89</v>
      </c>
      <c r="I102" s="72">
        <v>0.08</v>
      </c>
      <c r="J102" s="72">
        <f>IF(J103="1.25m",($I102*I103)-(SUM(QuadCoreMass,CS125Mass)*I103),$I102*I103)</f>
        <v>0.10640000000000001</v>
      </c>
      <c r="K102" s="150">
        <f>J102</f>
        <v>0.10640000000000001</v>
      </c>
      <c r="M102" s="204"/>
      <c r="N102" s="204"/>
      <c r="O102" s="204"/>
      <c r="P102" s="204"/>
      <c r="R102" s="204"/>
      <c r="S102" s="204"/>
      <c r="T102" s="204"/>
      <c r="U102" s="204"/>
      <c r="W102" s="204"/>
      <c r="X102" s="204"/>
      <c r="Y102" s="204"/>
      <c r="Z102" s="204"/>
      <c r="AA102" s="204"/>
      <c r="AB102" s="204"/>
      <c r="AC102" s="204"/>
      <c r="AD102" s="204"/>
      <c r="AE102" s="204"/>
    </row>
    <row r="103" spans="1:31" hidden="1" x14ac:dyDescent="0.35">
      <c r="A103" s="215" t="s">
        <v>295</v>
      </c>
      <c r="B103" s="215" t="s">
        <v>572</v>
      </c>
      <c r="C103" s="215" t="s">
        <v>573</v>
      </c>
      <c r="D103" s="215" t="s">
        <v>422</v>
      </c>
      <c r="E103" s="215">
        <v>9</v>
      </c>
      <c r="F103" s="215" t="s">
        <v>422</v>
      </c>
      <c r="H103" s="230" t="s">
        <v>303</v>
      </c>
      <c r="I103" s="135">
        <v>1.33</v>
      </c>
      <c r="J103" s="114"/>
      <c r="K103" s="134"/>
    </row>
    <row r="104" spans="1:31" s="124" customFormat="1" ht="15" hidden="1" thickBot="1" x14ac:dyDescent="0.4">
      <c r="A104" s="216" t="s">
        <v>295</v>
      </c>
      <c r="B104" s="216" t="s">
        <v>572</v>
      </c>
      <c r="C104" s="216" t="s">
        <v>573</v>
      </c>
      <c r="D104" s="216" t="s">
        <v>422</v>
      </c>
      <c r="E104" s="216">
        <v>10</v>
      </c>
      <c r="F104" s="216" t="s">
        <v>422</v>
      </c>
      <c r="I104" s="131"/>
      <c r="J104" s="131"/>
      <c r="K104" s="131"/>
    </row>
    <row r="105" spans="1:31" ht="18.75" hidden="1" customHeight="1" x14ac:dyDescent="0.45">
      <c r="A105" s="219" t="s">
        <v>295</v>
      </c>
      <c r="B105" s="219" t="s">
        <v>577</v>
      </c>
      <c r="C105" s="219" t="s">
        <v>578</v>
      </c>
      <c r="D105" s="219" t="s">
        <v>579</v>
      </c>
      <c r="E105" s="219">
        <v>1</v>
      </c>
      <c r="F105" s="219" t="s">
        <v>580</v>
      </c>
      <c r="G105" s="114"/>
      <c r="H105" s="116" t="s">
        <v>310</v>
      </c>
      <c r="I105" s="116"/>
      <c r="J105" s="116"/>
      <c r="K105" s="116"/>
      <c r="L105" s="114"/>
      <c r="M105" s="114"/>
      <c r="N105" s="114"/>
      <c r="O105" s="114"/>
      <c r="P105" s="114"/>
      <c r="Q105" s="114"/>
      <c r="R105" s="114"/>
      <c r="S105" s="114"/>
      <c r="T105" s="114"/>
      <c r="U105" s="114"/>
      <c r="V105" s="114"/>
      <c r="W105" s="114"/>
      <c r="X105" s="114"/>
      <c r="Y105" s="114"/>
      <c r="Z105" s="114"/>
      <c r="AA105" s="114"/>
      <c r="AB105" s="114"/>
      <c r="AC105" s="114"/>
      <c r="AD105" s="114"/>
      <c r="AE105" s="114"/>
    </row>
    <row r="106" spans="1:31" ht="15" hidden="1" customHeight="1" x14ac:dyDescent="0.35">
      <c r="A106" s="215" t="s">
        <v>295</v>
      </c>
      <c r="B106" s="215" t="s">
        <v>577</v>
      </c>
      <c r="C106" s="215" t="s">
        <v>578</v>
      </c>
      <c r="D106" s="215" t="s">
        <v>579</v>
      </c>
      <c r="E106" s="215">
        <v>2</v>
      </c>
      <c r="F106" s="215" t="s">
        <v>580</v>
      </c>
      <c r="H106" s="115" t="s">
        <v>535</v>
      </c>
      <c r="I106" s="115" t="s">
        <v>312</v>
      </c>
      <c r="J106" s="115"/>
      <c r="K106" s="115"/>
    </row>
    <row r="107" spans="1:31" hidden="1" x14ac:dyDescent="0.35">
      <c r="A107" s="215" t="s">
        <v>295</v>
      </c>
      <c r="B107" s="215" t="s">
        <v>577</v>
      </c>
      <c r="C107" s="215" t="s">
        <v>578</v>
      </c>
      <c r="D107" s="215" t="s">
        <v>579</v>
      </c>
      <c r="E107" s="215">
        <v>3</v>
      </c>
      <c r="F107" s="215" t="s">
        <v>580</v>
      </c>
      <c r="H107" s="115" t="s">
        <v>537</v>
      </c>
      <c r="I107" s="115" t="s">
        <v>581</v>
      </c>
      <c r="J107" s="115" t="s">
        <v>539</v>
      </c>
      <c r="K107" s="115">
        <v>2600</v>
      </c>
      <c r="R107" s="114"/>
      <c r="S107" s="114"/>
      <c r="T107" s="114"/>
      <c r="U107" s="114"/>
    </row>
    <row r="108" spans="1:31" hidden="1" x14ac:dyDescent="0.35">
      <c r="A108" s="215" t="s">
        <v>295</v>
      </c>
      <c r="B108" s="215" t="s">
        <v>577</v>
      </c>
      <c r="C108" s="215" t="s">
        <v>578</v>
      </c>
      <c r="D108" s="215" t="s">
        <v>579</v>
      </c>
      <c r="E108" s="215">
        <v>4</v>
      </c>
      <c r="F108" s="215" t="s">
        <v>580</v>
      </c>
      <c r="H108" s="100" t="s">
        <v>90</v>
      </c>
      <c r="I108" s="115">
        <v>2000</v>
      </c>
      <c r="J108" s="115" t="s">
        <v>540</v>
      </c>
      <c r="K108" s="115">
        <v>6</v>
      </c>
    </row>
    <row r="109" spans="1:31" hidden="1" x14ac:dyDescent="0.35">
      <c r="A109" s="215" t="s">
        <v>295</v>
      </c>
      <c r="B109" s="215" t="s">
        <v>577</v>
      </c>
      <c r="C109" s="215" t="s">
        <v>578</v>
      </c>
      <c r="D109" s="215" t="s">
        <v>579</v>
      </c>
      <c r="E109" s="215">
        <v>5</v>
      </c>
      <c r="F109" s="215" t="s">
        <v>580</v>
      </c>
      <c r="H109" s="136" t="s">
        <v>300</v>
      </c>
      <c r="I109" s="137" t="s">
        <v>541</v>
      </c>
      <c r="J109" s="137" t="s">
        <v>302</v>
      </c>
      <c r="K109" s="138" t="s">
        <v>542</v>
      </c>
      <c r="M109" s="114"/>
      <c r="N109" s="114"/>
      <c r="O109" s="114"/>
      <c r="P109" s="114"/>
      <c r="R109" s="114"/>
      <c r="S109" s="114"/>
      <c r="T109" s="114"/>
      <c r="U109" s="114"/>
    </row>
    <row r="110" spans="1:31" hidden="1" x14ac:dyDescent="0.35">
      <c r="A110" s="219" t="s">
        <v>295</v>
      </c>
      <c r="B110" s="219" t="s">
        <v>577</v>
      </c>
      <c r="C110" s="219" t="s">
        <v>578</v>
      </c>
      <c r="D110" s="219" t="s">
        <v>579</v>
      </c>
      <c r="E110" s="219">
        <v>6</v>
      </c>
      <c r="F110" s="219" t="s">
        <v>580</v>
      </c>
      <c r="G110" s="114"/>
      <c r="H110" s="50" t="s">
        <v>285</v>
      </c>
      <c r="I110" s="134">
        <v>45</v>
      </c>
      <c r="J110" s="134">
        <f>I110*I114</f>
        <v>10.35</v>
      </c>
      <c r="K110" s="151">
        <f>VLOOKUP(ROUND(J110,0),Fuel1.2RatioWholeNumbers[],1,TRUE)</f>
        <v>10</v>
      </c>
      <c r="L110" s="114"/>
      <c r="M110" s="114"/>
      <c r="N110" s="114"/>
      <c r="O110" s="114"/>
      <c r="P110" s="114"/>
      <c r="Q110" s="114"/>
      <c r="R110" s="114"/>
      <c r="S110" s="114"/>
      <c r="T110" s="114"/>
      <c r="U110" s="114"/>
      <c r="V110" s="114"/>
      <c r="W110" s="114"/>
      <c r="X110" s="114"/>
      <c r="Y110" s="114"/>
      <c r="Z110" s="114"/>
      <c r="AA110" s="114"/>
      <c r="AB110" s="114"/>
      <c r="AC110" s="114"/>
      <c r="AD110" s="114"/>
      <c r="AE110" s="114"/>
    </row>
    <row r="111" spans="1:31" hidden="1" x14ac:dyDescent="0.35">
      <c r="A111" s="215" t="s">
        <v>295</v>
      </c>
      <c r="B111" s="215" t="s">
        <v>577</v>
      </c>
      <c r="C111" s="215" t="s">
        <v>578</v>
      </c>
      <c r="D111" s="215" t="s">
        <v>579</v>
      </c>
      <c r="E111" s="215">
        <v>7</v>
      </c>
      <c r="F111" s="215" t="s">
        <v>580</v>
      </c>
      <c r="H111" s="62" t="s">
        <v>288</v>
      </c>
      <c r="I111" s="72">
        <v>55</v>
      </c>
      <c r="J111" s="72">
        <f>I111*I114</f>
        <v>12.65</v>
      </c>
      <c r="K111" s="152">
        <f>K110*1.2</f>
        <v>12</v>
      </c>
      <c r="R111" s="114"/>
      <c r="S111" s="114"/>
      <c r="T111" s="114"/>
      <c r="U111" s="114"/>
    </row>
    <row r="112" spans="1:31" hidden="1" x14ac:dyDescent="0.35">
      <c r="A112" s="215" t="s">
        <v>295</v>
      </c>
      <c r="B112" s="215" t="s">
        <v>577</v>
      </c>
      <c r="C112" s="215" t="s">
        <v>578</v>
      </c>
      <c r="D112" s="215" t="s">
        <v>579</v>
      </c>
      <c r="E112" s="215">
        <v>8</v>
      </c>
      <c r="F112" s="215" t="s">
        <v>580</v>
      </c>
      <c r="H112" s="50" t="s">
        <v>88</v>
      </c>
      <c r="I112" s="134">
        <v>150</v>
      </c>
      <c r="J112" s="134">
        <f>I112*I114</f>
        <v>34.5</v>
      </c>
      <c r="K112" s="149">
        <f>J112</f>
        <v>34.5</v>
      </c>
      <c r="R112" s="114"/>
      <c r="U112" s="114"/>
    </row>
    <row r="113" spans="1:31" hidden="1" x14ac:dyDescent="0.35">
      <c r="A113" s="215" t="s">
        <v>295</v>
      </c>
      <c r="B113" s="215" t="s">
        <v>577</v>
      </c>
      <c r="C113" s="215" t="s">
        <v>578</v>
      </c>
      <c r="D113" s="215" t="s">
        <v>579</v>
      </c>
      <c r="E113" s="215">
        <v>9</v>
      </c>
      <c r="F113" s="215" t="s">
        <v>580</v>
      </c>
      <c r="H113" s="62" t="s">
        <v>89</v>
      </c>
      <c r="I113" s="72">
        <v>6.25E-2</v>
      </c>
      <c r="J113" s="72">
        <f>IF(J114="1.25m",($I113*I114)-(SUM(QuadCoreMass,CS125Mass)*I114),$I113*I114)</f>
        <v>1.4375000000000001E-2</v>
      </c>
      <c r="K113" s="150">
        <f>J113</f>
        <v>1.4375000000000001E-2</v>
      </c>
      <c r="R113" s="114"/>
      <c r="S113" s="114"/>
      <c r="T113" s="114"/>
      <c r="U113" s="114"/>
    </row>
    <row r="114" spans="1:31" ht="15" hidden="1" customHeight="1" x14ac:dyDescent="0.35">
      <c r="A114" s="215" t="s">
        <v>295</v>
      </c>
      <c r="B114" s="215" t="s">
        <v>577</v>
      </c>
      <c r="C114" s="215" t="s">
        <v>578</v>
      </c>
      <c r="D114" s="215" t="s">
        <v>579</v>
      </c>
      <c r="E114" s="215">
        <v>10</v>
      </c>
      <c r="F114" s="215" t="s">
        <v>580</v>
      </c>
      <c r="H114" s="33" t="s">
        <v>303</v>
      </c>
      <c r="I114" s="135">
        <v>0.23</v>
      </c>
      <c r="J114" s="135" t="s">
        <v>44</v>
      </c>
      <c r="K114"/>
      <c r="S114" s="114"/>
    </row>
    <row r="115" spans="1:31" s="124" customFormat="1" ht="15.75" hidden="1" customHeight="1" thickBot="1" x14ac:dyDescent="0.4">
      <c r="A115" s="216" t="s">
        <v>295</v>
      </c>
      <c r="B115" s="216" t="s">
        <v>577</v>
      </c>
      <c r="C115" s="216" t="s">
        <v>578</v>
      </c>
      <c r="D115" s="216" t="s">
        <v>579</v>
      </c>
      <c r="E115" s="216">
        <v>11</v>
      </c>
      <c r="F115" s="216" t="s">
        <v>580</v>
      </c>
      <c r="H115" s="131"/>
      <c r="I115" s="132"/>
      <c r="J115" s="131"/>
      <c r="K115" s="131"/>
    </row>
    <row r="116" spans="1:31" s="16" customFormat="1" ht="18.5" hidden="1" x14ac:dyDescent="0.45">
      <c r="A116" s="215" t="s">
        <v>295</v>
      </c>
      <c r="B116" s="215" t="s">
        <v>582</v>
      </c>
      <c r="C116" s="215" t="s">
        <v>583</v>
      </c>
      <c r="D116" s="215" t="s">
        <v>579</v>
      </c>
      <c r="E116" s="215">
        <v>1</v>
      </c>
      <c r="F116" s="215" t="s">
        <v>580</v>
      </c>
      <c r="H116" s="116" t="s">
        <v>98</v>
      </c>
      <c r="I116" s="116"/>
      <c r="J116" s="116"/>
      <c r="K116" s="116"/>
      <c r="M116" s="204"/>
      <c r="N116" s="204"/>
      <c r="O116" s="204"/>
      <c r="P116" s="204"/>
      <c r="R116" s="204"/>
      <c r="S116" s="204"/>
      <c r="T116" s="204"/>
      <c r="U116" s="204"/>
      <c r="W116" s="204"/>
      <c r="X116" s="204"/>
      <c r="Y116" s="204"/>
      <c r="Z116" s="204"/>
      <c r="AA116" s="204"/>
      <c r="AB116" s="204"/>
      <c r="AC116" s="204"/>
      <c r="AD116" s="204"/>
      <c r="AE116" s="204"/>
    </row>
    <row r="117" spans="1:31" hidden="1" x14ac:dyDescent="0.35">
      <c r="A117" s="215" t="s">
        <v>295</v>
      </c>
      <c r="B117" s="215" t="s">
        <v>582</v>
      </c>
      <c r="C117" s="215" t="s">
        <v>583</v>
      </c>
      <c r="D117" s="215" t="s">
        <v>579</v>
      </c>
      <c r="E117" s="215">
        <v>2</v>
      </c>
      <c r="F117" s="215" t="s">
        <v>580</v>
      </c>
      <c r="H117" s="115" t="s">
        <v>535</v>
      </c>
      <c r="I117" s="115" t="s">
        <v>316</v>
      </c>
      <c r="J117" s="115"/>
      <c r="K117" s="115"/>
      <c r="R117" s="114"/>
      <c r="S117" s="114"/>
      <c r="T117" s="114"/>
      <c r="U117" s="114"/>
    </row>
    <row r="118" spans="1:31" hidden="1" x14ac:dyDescent="0.35">
      <c r="A118" s="215" t="s">
        <v>295</v>
      </c>
      <c r="B118" s="215" t="s">
        <v>582</v>
      </c>
      <c r="C118" s="215" t="s">
        <v>583</v>
      </c>
      <c r="D118" s="215" t="s">
        <v>579</v>
      </c>
      <c r="E118" s="215">
        <v>3</v>
      </c>
      <c r="F118" s="215" t="s">
        <v>580</v>
      </c>
      <c r="H118" s="115" t="s">
        <v>537</v>
      </c>
      <c r="I118" s="115" t="s">
        <v>99</v>
      </c>
      <c r="J118" s="115" t="s">
        <v>539</v>
      </c>
      <c r="K118" s="115">
        <v>4200</v>
      </c>
      <c r="S118" s="114"/>
    </row>
    <row r="119" spans="1:31" hidden="1" x14ac:dyDescent="0.35">
      <c r="A119" s="215" t="s">
        <v>295</v>
      </c>
      <c r="B119" s="215" t="s">
        <v>582</v>
      </c>
      <c r="C119" s="215" t="s">
        <v>583</v>
      </c>
      <c r="D119" s="215" t="s">
        <v>579</v>
      </c>
      <c r="E119" s="215">
        <v>4</v>
      </c>
      <c r="F119" s="215" t="s">
        <v>580</v>
      </c>
      <c r="H119" s="100" t="s">
        <v>90</v>
      </c>
      <c r="I119" s="115">
        <v>2000</v>
      </c>
      <c r="J119" s="115" t="s">
        <v>540</v>
      </c>
      <c r="K119" s="115">
        <v>12</v>
      </c>
    </row>
    <row r="120" spans="1:31" hidden="1" x14ac:dyDescent="0.35">
      <c r="A120" s="215" t="s">
        <v>295</v>
      </c>
      <c r="B120" s="215" t="s">
        <v>582</v>
      </c>
      <c r="C120" s="215" t="s">
        <v>583</v>
      </c>
      <c r="D120" s="215" t="s">
        <v>579</v>
      </c>
      <c r="E120" s="215">
        <v>5</v>
      </c>
      <c r="F120" s="215" t="s">
        <v>580</v>
      </c>
      <c r="H120" s="136" t="s">
        <v>300</v>
      </c>
      <c r="I120" s="137" t="s">
        <v>541</v>
      </c>
      <c r="J120" s="137" t="s">
        <v>302</v>
      </c>
      <c r="K120" s="138" t="s">
        <v>542</v>
      </c>
      <c r="M120" s="114"/>
      <c r="N120" s="114"/>
      <c r="O120" s="114"/>
      <c r="P120" s="114"/>
      <c r="R120" s="114"/>
      <c r="S120" s="114"/>
      <c r="T120" s="114"/>
      <c r="U120" s="114"/>
    </row>
    <row r="121" spans="1:31" hidden="1" x14ac:dyDescent="0.35">
      <c r="A121" s="215" t="s">
        <v>295</v>
      </c>
      <c r="B121" s="215" t="s">
        <v>582</v>
      </c>
      <c r="C121" s="215" t="s">
        <v>583</v>
      </c>
      <c r="D121" s="215" t="s">
        <v>579</v>
      </c>
      <c r="E121" s="215">
        <v>6</v>
      </c>
      <c r="F121" s="215" t="s">
        <v>580</v>
      </c>
      <c r="H121" s="62" t="s">
        <v>286</v>
      </c>
      <c r="I121" s="72">
        <v>120</v>
      </c>
      <c r="J121" s="72">
        <f>I121*I124</f>
        <v>30</v>
      </c>
      <c r="K121" s="155">
        <f>J121</f>
        <v>30</v>
      </c>
      <c r="M121" s="114"/>
      <c r="N121" s="114"/>
      <c r="O121" s="114"/>
      <c r="P121" s="114"/>
      <c r="R121" s="114"/>
      <c r="S121" s="114"/>
      <c r="T121" s="114"/>
      <c r="U121" s="114"/>
    </row>
    <row r="122" spans="1:31" hidden="1" x14ac:dyDescent="0.35">
      <c r="A122" s="215" t="s">
        <v>295</v>
      </c>
      <c r="B122" s="215" t="s">
        <v>582</v>
      </c>
      <c r="C122" s="215" t="s">
        <v>583</v>
      </c>
      <c r="D122" s="215" t="s">
        <v>579</v>
      </c>
      <c r="E122" s="215">
        <v>7</v>
      </c>
      <c r="F122" s="215" t="s">
        <v>580</v>
      </c>
      <c r="H122" s="50" t="s">
        <v>88</v>
      </c>
      <c r="I122" s="134">
        <v>330</v>
      </c>
      <c r="J122" s="134">
        <f>I122*I124</f>
        <v>82.5</v>
      </c>
      <c r="K122" s="149">
        <f>J122</f>
        <v>82.5</v>
      </c>
      <c r="M122" s="114"/>
      <c r="P122" s="114"/>
      <c r="R122" s="114"/>
      <c r="U122" s="114"/>
    </row>
    <row r="123" spans="1:31" hidden="1" x14ac:dyDescent="0.35">
      <c r="A123" s="215" t="s">
        <v>295</v>
      </c>
      <c r="B123" s="215" t="s">
        <v>582</v>
      </c>
      <c r="C123" s="215" t="s">
        <v>583</v>
      </c>
      <c r="D123" s="215" t="s">
        <v>579</v>
      </c>
      <c r="E123" s="215">
        <v>8</v>
      </c>
      <c r="F123" s="215" t="s">
        <v>580</v>
      </c>
      <c r="H123" s="62" t="s">
        <v>89</v>
      </c>
      <c r="I123" s="72">
        <v>0.08</v>
      </c>
      <c r="J123" s="72">
        <f>IF(J124="1.25m",($I123*I124)-(SUM(QuadCoreMass,CS125Mass)*I124),$I123*I124)</f>
        <v>0.02</v>
      </c>
      <c r="K123" s="150">
        <f>J123</f>
        <v>0.02</v>
      </c>
      <c r="M123" s="114"/>
      <c r="N123" s="114"/>
      <c r="O123" s="114"/>
      <c r="P123" s="114"/>
      <c r="R123" s="114"/>
      <c r="S123" s="114"/>
      <c r="T123" s="114"/>
      <c r="U123" s="114"/>
    </row>
    <row r="124" spans="1:31" hidden="1" x14ac:dyDescent="0.35">
      <c r="A124" s="215" t="s">
        <v>295</v>
      </c>
      <c r="B124" s="215" t="s">
        <v>582</v>
      </c>
      <c r="C124" s="215" t="s">
        <v>583</v>
      </c>
      <c r="D124" s="215" t="s">
        <v>579</v>
      </c>
      <c r="E124" s="215">
        <v>9</v>
      </c>
      <c r="F124" s="215" t="s">
        <v>580</v>
      </c>
      <c r="H124" s="230" t="s">
        <v>303</v>
      </c>
      <c r="I124" s="135">
        <v>0.25</v>
      </c>
      <c r="J124" s="135" t="s">
        <v>44</v>
      </c>
      <c r="K124" s="134"/>
      <c r="N124" s="114"/>
      <c r="O124" s="114"/>
      <c r="S124" s="114"/>
    </row>
    <row r="125" spans="1:31" s="124" customFormat="1" ht="15.75" hidden="1" customHeight="1" thickBot="1" x14ac:dyDescent="0.4">
      <c r="A125" s="216" t="s">
        <v>295</v>
      </c>
      <c r="B125" s="216" t="s">
        <v>582</v>
      </c>
      <c r="C125" s="216" t="s">
        <v>583</v>
      </c>
      <c r="D125" s="216" t="s">
        <v>579</v>
      </c>
      <c r="E125" s="216">
        <v>10</v>
      </c>
      <c r="F125" s="216" t="s">
        <v>580</v>
      </c>
    </row>
    <row r="126" spans="1:31" s="16" customFormat="1" ht="18.5" hidden="1" x14ac:dyDescent="0.45">
      <c r="A126" s="215" t="s">
        <v>295</v>
      </c>
      <c r="B126" s="215" t="s">
        <v>584</v>
      </c>
      <c r="C126" s="215" t="s">
        <v>585</v>
      </c>
      <c r="D126" s="215" t="s">
        <v>579</v>
      </c>
      <c r="E126" s="215">
        <v>1</v>
      </c>
      <c r="F126" s="215" t="s">
        <v>580</v>
      </c>
      <c r="H126" s="116" t="s">
        <v>102</v>
      </c>
      <c r="I126" s="116"/>
      <c r="J126" s="116"/>
      <c r="K126" s="116"/>
      <c r="M126" s="204"/>
      <c r="N126" s="204"/>
      <c r="O126" s="204"/>
      <c r="P126" s="204"/>
      <c r="R126" s="146" t="s">
        <v>102</v>
      </c>
      <c r="S126" s="146"/>
      <c r="T126" s="146"/>
      <c r="U126" s="146"/>
    </row>
    <row r="127" spans="1:31" s="126" customFormat="1" ht="15" hidden="1" customHeight="1" x14ac:dyDescent="0.35">
      <c r="A127" s="217" t="s">
        <v>295</v>
      </c>
      <c r="B127" s="217" t="s">
        <v>584</v>
      </c>
      <c r="C127" s="217" t="s">
        <v>585</v>
      </c>
      <c r="D127" s="217" t="s">
        <v>579</v>
      </c>
      <c r="E127" s="217">
        <v>2</v>
      </c>
      <c r="F127" s="217" t="s">
        <v>580</v>
      </c>
      <c r="H127" s="118" t="s">
        <v>535</v>
      </c>
      <c r="I127" s="118" t="s">
        <v>319</v>
      </c>
      <c r="J127" s="118"/>
      <c r="K127" s="118"/>
      <c r="M127" s="204"/>
      <c r="N127" s="204"/>
      <c r="O127" s="204"/>
      <c r="P127" s="204"/>
      <c r="R127" s="118" t="s">
        <v>535</v>
      </c>
      <c r="S127" s="118" t="s">
        <v>320</v>
      </c>
      <c r="T127" s="118"/>
      <c r="U127" s="118"/>
    </row>
    <row r="128" spans="1:31" s="126" customFormat="1" ht="15" hidden="1" customHeight="1" x14ac:dyDescent="0.35">
      <c r="A128" s="229" t="s">
        <v>295</v>
      </c>
      <c r="B128" s="229" t="s">
        <v>584</v>
      </c>
      <c r="C128" s="229" t="s">
        <v>585</v>
      </c>
      <c r="D128" s="229" t="s">
        <v>579</v>
      </c>
      <c r="E128" s="229">
        <v>3</v>
      </c>
      <c r="F128" s="229" t="s">
        <v>580</v>
      </c>
      <c r="G128" s="142"/>
      <c r="H128" s="118" t="s">
        <v>537</v>
      </c>
      <c r="I128" s="115" t="s">
        <v>563</v>
      </c>
      <c r="J128" s="115" t="s">
        <v>539</v>
      </c>
      <c r="K128" s="118">
        <v>1000</v>
      </c>
      <c r="L128" s="142"/>
      <c r="M128" s="114"/>
      <c r="N128" s="114"/>
      <c r="O128" s="114"/>
      <c r="P128" s="114"/>
      <c r="Q128" s="142"/>
      <c r="R128" s="118" t="s">
        <v>537</v>
      </c>
      <c r="S128" s="115" t="s">
        <v>103</v>
      </c>
      <c r="T128" s="115" t="s">
        <v>539</v>
      </c>
      <c r="U128" s="118">
        <v>2000</v>
      </c>
      <c r="V128" s="142"/>
      <c r="W128" s="142"/>
      <c r="X128" s="142"/>
      <c r="Y128" s="142"/>
      <c r="Z128" s="142"/>
      <c r="AA128" s="142"/>
      <c r="AB128" s="142"/>
      <c r="AC128" s="142"/>
      <c r="AD128" s="142"/>
      <c r="AE128" s="142"/>
    </row>
    <row r="129" spans="1:21" s="126" customFormat="1" hidden="1" x14ac:dyDescent="0.35">
      <c r="A129" s="217" t="s">
        <v>295</v>
      </c>
      <c r="B129" s="217" t="s">
        <v>584</v>
      </c>
      <c r="C129" s="217" t="s">
        <v>585</v>
      </c>
      <c r="D129" s="217" t="s">
        <v>579</v>
      </c>
      <c r="E129" s="217">
        <v>4</v>
      </c>
      <c r="F129" s="217" t="s">
        <v>580</v>
      </c>
      <c r="H129" s="100" t="s">
        <v>90</v>
      </c>
      <c r="I129" s="115">
        <v>3200</v>
      </c>
      <c r="J129" s="115" t="s">
        <v>540</v>
      </c>
      <c r="K129" s="115">
        <v>12</v>
      </c>
      <c r="M129" s="204"/>
      <c r="N129" s="204"/>
      <c r="O129" s="204"/>
      <c r="P129" s="204"/>
      <c r="R129" s="100" t="s">
        <v>90</v>
      </c>
      <c r="S129" s="115">
        <v>1600</v>
      </c>
      <c r="T129" s="115" t="s">
        <v>540</v>
      </c>
      <c r="U129" s="115">
        <v>6</v>
      </c>
    </row>
    <row r="130" spans="1:21" hidden="1" x14ac:dyDescent="0.35">
      <c r="A130" s="217" t="s">
        <v>295</v>
      </c>
      <c r="B130" s="217" t="s">
        <v>584</v>
      </c>
      <c r="C130" s="217" t="s">
        <v>585</v>
      </c>
      <c r="D130" s="217" t="s">
        <v>579</v>
      </c>
      <c r="E130" s="217">
        <v>5</v>
      </c>
      <c r="F130" s="217" t="s">
        <v>580</v>
      </c>
      <c r="H130" s="136" t="s">
        <v>300</v>
      </c>
      <c r="I130" s="137" t="s">
        <v>105</v>
      </c>
      <c r="J130" s="137" t="s">
        <v>302</v>
      </c>
      <c r="K130" s="138" t="s">
        <v>542</v>
      </c>
      <c r="M130" s="114"/>
      <c r="N130" s="114"/>
      <c r="O130" s="114"/>
      <c r="P130" s="114"/>
      <c r="R130" s="136" t="s">
        <v>300</v>
      </c>
      <c r="S130" s="137" t="s">
        <v>86</v>
      </c>
      <c r="T130" s="137" t="s">
        <v>302</v>
      </c>
      <c r="U130" s="138" t="s">
        <v>542</v>
      </c>
    </row>
    <row r="131" spans="1:21" hidden="1" x14ac:dyDescent="0.35">
      <c r="A131" s="217" t="s">
        <v>295</v>
      </c>
      <c r="B131" s="217" t="s">
        <v>584</v>
      </c>
      <c r="C131" s="217" t="s">
        <v>585</v>
      </c>
      <c r="D131" s="217" t="s">
        <v>579</v>
      </c>
      <c r="E131" s="217">
        <v>6</v>
      </c>
      <c r="F131" s="217" t="s">
        <v>580</v>
      </c>
      <c r="H131" s="147" t="s">
        <v>19</v>
      </c>
      <c r="I131" s="71">
        <v>53072.3</v>
      </c>
      <c r="J131" s="71">
        <f>I131*I134</f>
        <v>13268.075000000001</v>
      </c>
      <c r="K131" s="155">
        <f>J131</f>
        <v>13268.075000000001</v>
      </c>
      <c r="R131" s="147" t="s">
        <v>19</v>
      </c>
      <c r="S131" s="71">
        <v>28000</v>
      </c>
      <c r="T131" s="71">
        <f>S131*S134</f>
        <v>84000</v>
      </c>
      <c r="U131" s="155">
        <f>T131</f>
        <v>84000</v>
      </c>
    </row>
    <row r="132" spans="1:21" hidden="1" x14ac:dyDescent="0.35">
      <c r="A132" s="217" t="s">
        <v>295</v>
      </c>
      <c r="B132" s="217" t="s">
        <v>584</v>
      </c>
      <c r="C132" s="217" t="s">
        <v>585</v>
      </c>
      <c r="D132" s="217" t="s">
        <v>579</v>
      </c>
      <c r="E132" s="217">
        <v>7</v>
      </c>
      <c r="F132" s="217" t="s">
        <v>580</v>
      </c>
      <c r="H132" s="50" t="s">
        <v>88</v>
      </c>
      <c r="I132" s="134">
        <v>303</v>
      </c>
      <c r="J132" s="134">
        <f>I132*I134</f>
        <v>75.75</v>
      </c>
      <c r="K132" s="149">
        <f>J132</f>
        <v>75.75</v>
      </c>
      <c r="R132" s="50" t="s">
        <v>88</v>
      </c>
      <c r="S132" s="134">
        <v>502</v>
      </c>
      <c r="T132" s="134">
        <f>S132*S134</f>
        <v>1506</v>
      </c>
      <c r="U132" s="149">
        <f>T132</f>
        <v>1506</v>
      </c>
    </row>
    <row r="133" spans="1:21" hidden="1" x14ac:dyDescent="0.35">
      <c r="A133" s="217" t="s">
        <v>295</v>
      </c>
      <c r="B133" s="217" t="s">
        <v>584</v>
      </c>
      <c r="C133" s="217" t="s">
        <v>585</v>
      </c>
      <c r="D133" s="217" t="s">
        <v>579</v>
      </c>
      <c r="E133" s="217">
        <v>8</v>
      </c>
      <c r="F133" s="217" t="s">
        <v>580</v>
      </c>
      <c r="H133" s="62" t="s">
        <v>89</v>
      </c>
      <c r="I133" s="72">
        <v>0.2</v>
      </c>
      <c r="J133" s="72">
        <f>IF(J134="1.25m",($I133*I134)-(SUM(QuadCoreMass,CS125Mass)*I134),$I133*I134)</f>
        <v>0.05</v>
      </c>
      <c r="K133" s="150">
        <f>J133</f>
        <v>0.05</v>
      </c>
      <c r="R133" s="62" t="s">
        <v>89</v>
      </c>
      <c r="S133" s="72">
        <v>7.6E-3</v>
      </c>
      <c r="T133" s="72">
        <f>S133*S134</f>
        <v>2.2800000000000001E-2</v>
      </c>
      <c r="U133" s="150">
        <f>T133</f>
        <v>2.2800000000000001E-2</v>
      </c>
    </row>
    <row r="134" spans="1:21" hidden="1" x14ac:dyDescent="0.35">
      <c r="A134" s="217" t="s">
        <v>295</v>
      </c>
      <c r="B134" s="217" t="s">
        <v>584</v>
      </c>
      <c r="C134" s="217" t="s">
        <v>585</v>
      </c>
      <c r="D134" s="217" t="s">
        <v>579</v>
      </c>
      <c r="E134" s="217">
        <v>9</v>
      </c>
      <c r="F134" s="217" t="s">
        <v>580</v>
      </c>
      <c r="H134" s="230" t="s">
        <v>303</v>
      </c>
      <c r="I134" s="135">
        <v>0.25</v>
      </c>
      <c r="J134" s="135" t="s">
        <v>44</v>
      </c>
      <c r="K134" s="134"/>
      <c r="R134" s="33" t="s">
        <v>303</v>
      </c>
      <c r="S134" s="135">
        <v>3</v>
      </c>
      <c r="T134"/>
    </row>
    <row r="135" spans="1:21" s="124" customFormat="1" ht="15" hidden="1" thickBot="1" x14ac:dyDescent="0.4">
      <c r="A135" s="218" t="s">
        <v>295</v>
      </c>
      <c r="B135" s="218" t="s">
        <v>584</v>
      </c>
      <c r="C135" s="218" t="s">
        <v>585</v>
      </c>
      <c r="D135" s="218" t="s">
        <v>579</v>
      </c>
      <c r="E135" s="218">
        <v>10</v>
      </c>
      <c r="F135" s="218" t="s">
        <v>580</v>
      </c>
    </row>
    <row r="136" spans="1:21" s="16" customFormat="1" ht="18.5" hidden="1" x14ac:dyDescent="0.45">
      <c r="A136" s="215" t="s">
        <v>295</v>
      </c>
      <c r="B136" s="215" t="s">
        <v>586</v>
      </c>
      <c r="C136" s="215" t="s">
        <v>587</v>
      </c>
      <c r="D136" s="215" t="s">
        <v>579</v>
      </c>
      <c r="E136" s="215">
        <v>1</v>
      </c>
      <c r="F136" s="215" t="s">
        <v>580</v>
      </c>
      <c r="H136" s="116" t="s">
        <v>321</v>
      </c>
      <c r="I136" s="116"/>
      <c r="J136" s="116"/>
      <c r="K136" s="116"/>
      <c r="M136" s="146" t="s">
        <v>321</v>
      </c>
      <c r="N136" s="146"/>
      <c r="O136" s="146"/>
      <c r="P136" s="146"/>
      <c r="R136" s="146" t="s">
        <v>321</v>
      </c>
      <c r="S136" s="146"/>
      <c r="T136" s="146"/>
      <c r="U136" s="146"/>
    </row>
    <row r="137" spans="1:21" hidden="1" x14ac:dyDescent="0.35">
      <c r="A137" s="215" t="s">
        <v>295</v>
      </c>
      <c r="B137" s="215" t="s">
        <v>586</v>
      </c>
      <c r="C137" s="215" t="s">
        <v>587</v>
      </c>
      <c r="D137" s="215" t="s">
        <v>579</v>
      </c>
      <c r="E137" s="215">
        <v>2</v>
      </c>
      <c r="F137" s="215" t="s">
        <v>580</v>
      </c>
      <c r="H137" s="115" t="s">
        <v>535</v>
      </c>
      <c r="I137" s="115" t="s">
        <v>319</v>
      </c>
      <c r="J137" s="115"/>
      <c r="K137" s="115"/>
      <c r="M137" s="115" t="s">
        <v>535</v>
      </c>
      <c r="N137" s="115" t="s">
        <v>319</v>
      </c>
      <c r="O137" s="115"/>
      <c r="P137" s="100"/>
      <c r="R137" s="118" t="s">
        <v>535</v>
      </c>
      <c r="S137" s="156" t="s">
        <v>320</v>
      </c>
      <c r="T137" s="156"/>
      <c r="U137" s="118"/>
    </row>
    <row r="138" spans="1:21" s="126" customFormat="1" hidden="1" x14ac:dyDescent="0.35">
      <c r="A138" s="215" t="s">
        <v>295</v>
      </c>
      <c r="B138" s="215" t="s">
        <v>586</v>
      </c>
      <c r="C138" s="215" t="s">
        <v>587</v>
      </c>
      <c r="D138" s="215" t="s">
        <v>579</v>
      </c>
      <c r="E138" s="215">
        <v>3</v>
      </c>
      <c r="F138" s="215" t="s">
        <v>580</v>
      </c>
      <c r="H138" s="118" t="s">
        <v>537</v>
      </c>
      <c r="I138" s="115" t="s">
        <v>563</v>
      </c>
      <c r="J138" s="115" t="s">
        <v>539</v>
      </c>
      <c r="K138" s="118">
        <v>1000</v>
      </c>
      <c r="M138" s="118" t="s">
        <v>537</v>
      </c>
      <c r="N138" s="115" t="s">
        <v>588</v>
      </c>
      <c r="O138" s="115" t="s">
        <v>539</v>
      </c>
      <c r="P138" s="118">
        <v>400</v>
      </c>
      <c r="R138" s="118" t="s">
        <v>537</v>
      </c>
      <c r="S138" s="115" t="s">
        <v>103</v>
      </c>
      <c r="T138" s="115" t="s">
        <v>539</v>
      </c>
      <c r="U138" s="118">
        <v>2000</v>
      </c>
    </row>
    <row r="139" spans="1:21" s="126" customFormat="1" hidden="1" x14ac:dyDescent="0.35">
      <c r="A139" s="215" t="s">
        <v>295</v>
      </c>
      <c r="B139" s="215" t="s">
        <v>586</v>
      </c>
      <c r="C139" s="215" t="s">
        <v>587</v>
      </c>
      <c r="D139" s="215" t="s">
        <v>579</v>
      </c>
      <c r="E139" s="215">
        <v>4</v>
      </c>
      <c r="F139" s="215" t="s">
        <v>580</v>
      </c>
      <c r="H139" s="115" t="s">
        <v>90</v>
      </c>
      <c r="I139" s="115">
        <v>3200</v>
      </c>
      <c r="J139" s="115" t="s">
        <v>540</v>
      </c>
      <c r="K139" s="115">
        <v>12</v>
      </c>
      <c r="M139" s="115" t="s">
        <v>90</v>
      </c>
      <c r="N139" s="115">
        <v>3200</v>
      </c>
      <c r="O139" s="115" t="s">
        <v>540</v>
      </c>
      <c r="P139" s="115">
        <v>12</v>
      </c>
      <c r="R139" s="115" t="s">
        <v>90</v>
      </c>
      <c r="S139" s="115">
        <v>1600</v>
      </c>
      <c r="T139" s="115" t="s">
        <v>540</v>
      </c>
      <c r="U139" s="115">
        <v>6</v>
      </c>
    </row>
    <row r="140" spans="1:21" hidden="1" x14ac:dyDescent="0.35">
      <c r="A140" s="215" t="s">
        <v>295</v>
      </c>
      <c r="B140" s="215" t="s">
        <v>586</v>
      </c>
      <c r="C140" s="215" t="s">
        <v>587</v>
      </c>
      <c r="D140" s="215" t="s">
        <v>579</v>
      </c>
      <c r="E140" s="215">
        <v>5</v>
      </c>
      <c r="F140" s="215" t="s">
        <v>580</v>
      </c>
      <c r="H140" s="136" t="s">
        <v>300</v>
      </c>
      <c r="I140" s="137" t="s">
        <v>105</v>
      </c>
      <c r="J140" s="137" t="s">
        <v>302</v>
      </c>
      <c r="K140" s="138" t="s">
        <v>542</v>
      </c>
      <c r="M140" s="136" t="s">
        <v>300</v>
      </c>
      <c r="N140" s="137" t="s">
        <v>105</v>
      </c>
      <c r="O140" s="137" t="s">
        <v>302</v>
      </c>
      <c r="P140" s="138" t="s">
        <v>542</v>
      </c>
      <c r="R140" s="136" t="s">
        <v>300</v>
      </c>
      <c r="S140" s="137" t="s">
        <v>86</v>
      </c>
      <c r="T140" s="137" t="s">
        <v>302</v>
      </c>
      <c r="U140" s="138" t="s">
        <v>542</v>
      </c>
    </row>
    <row r="141" spans="1:21" hidden="1" x14ac:dyDescent="0.35">
      <c r="A141" s="215" t="s">
        <v>295</v>
      </c>
      <c r="B141" s="215" t="s">
        <v>586</v>
      </c>
      <c r="C141" s="215" t="s">
        <v>587</v>
      </c>
      <c r="D141" s="215" t="s">
        <v>579</v>
      </c>
      <c r="E141" s="215">
        <v>6</v>
      </c>
      <c r="F141" s="215" t="s">
        <v>580</v>
      </c>
      <c r="H141" s="62" t="s">
        <v>23</v>
      </c>
      <c r="I141" s="72">
        <v>53072.3</v>
      </c>
      <c r="J141" s="72">
        <f>I141*I144</f>
        <v>13268.075000000001</v>
      </c>
      <c r="K141" s="155">
        <f>J141</f>
        <v>13268.075000000001</v>
      </c>
      <c r="M141" s="62" t="s">
        <v>23</v>
      </c>
      <c r="N141" s="72">
        <v>53072.3</v>
      </c>
      <c r="O141" s="72">
        <f>N141*N144</f>
        <v>13268.075000000001</v>
      </c>
      <c r="P141" s="155">
        <f>O141</f>
        <v>13268.075000000001</v>
      </c>
      <c r="R141" s="62" t="s">
        <v>23</v>
      </c>
      <c r="S141" s="72">
        <v>8000</v>
      </c>
      <c r="T141" s="72">
        <f>S141*S144</f>
        <v>24000</v>
      </c>
      <c r="U141" s="155">
        <f>T141</f>
        <v>24000</v>
      </c>
    </row>
    <row r="142" spans="1:21" hidden="1" x14ac:dyDescent="0.35">
      <c r="A142" s="219" t="s">
        <v>295</v>
      </c>
      <c r="B142" s="219" t="s">
        <v>586</v>
      </c>
      <c r="C142" s="219" t="s">
        <v>587</v>
      </c>
      <c r="D142" s="219" t="s">
        <v>579</v>
      </c>
      <c r="E142" s="219">
        <v>7</v>
      </c>
      <c r="F142" s="219" t="s">
        <v>580</v>
      </c>
      <c r="G142" s="114"/>
      <c r="H142" s="50" t="s">
        <v>88</v>
      </c>
      <c r="I142" s="134">
        <v>303</v>
      </c>
      <c r="J142" s="134">
        <f>I142*I144</f>
        <v>75.75</v>
      </c>
      <c r="K142" s="149">
        <f>J142</f>
        <v>75.75</v>
      </c>
      <c r="L142" s="114"/>
      <c r="M142" s="50" t="s">
        <v>88</v>
      </c>
      <c r="N142" s="134">
        <v>303</v>
      </c>
      <c r="O142" s="134">
        <f>N142*N144</f>
        <v>75.75</v>
      </c>
      <c r="P142" s="149">
        <f>O142</f>
        <v>75.75</v>
      </c>
      <c r="Q142" s="114"/>
      <c r="R142" s="50" t="s">
        <v>88</v>
      </c>
      <c r="S142" s="134">
        <v>500</v>
      </c>
      <c r="T142" s="134">
        <f>S142*S144</f>
        <v>1500</v>
      </c>
      <c r="U142" s="149">
        <f>T142</f>
        <v>1500</v>
      </c>
    </row>
    <row r="143" spans="1:21" hidden="1" x14ac:dyDescent="0.35">
      <c r="A143" s="215" t="s">
        <v>295</v>
      </c>
      <c r="B143" s="215" t="s">
        <v>586</v>
      </c>
      <c r="C143" s="215" t="s">
        <v>587</v>
      </c>
      <c r="D143" s="215" t="s">
        <v>579</v>
      </c>
      <c r="E143" s="215">
        <v>8</v>
      </c>
      <c r="F143" s="215" t="s">
        <v>580</v>
      </c>
      <c r="H143" s="62" t="s">
        <v>89</v>
      </c>
      <c r="I143" s="72">
        <v>0.2</v>
      </c>
      <c r="J143" s="72">
        <f>IF(J144="1.25m",($I143*I144)-(SUM(QuadCoreMass,CS125Mass)*I144),$I143*I144)</f>
        <v>0.05</v>
      </c>
      <c r="K143" s="150">
        <f>J143</f>
        <v>0.05</v>
      </c>
      <c r="M143" s="62" t="s">
        <v>89</v>
      </c>
      <c r="N143" s="72">
        <v>0.2</v>
      </c>
      <c r="O143" s="72">
        <f>IF(O144="1.25m",($I143*N144)-(SUM(QuadCoreMass,CS125Mass)*N144),$I143*N144)</f>
        <v>0.05</v>
      </c>
      <c r="P143" s="150">
        <f>O143</f>
        <v>0.05</v>
      </c>
      <c r="R143" s="62" t="s">
        <v>89</v>
      </c>
      <c r="S143" s="72">
        <v>7.6E-3</v>
      </c>
      <c r="T143" s="72">
        <f>S143*S144</f>
        <v>2.2800000000000001E-2</v>
      </c>
      <c r="U143" s="150">
        <f>T143</f>
        <v>2.2800000000000001E-2</v>
      </c>
    </row>
    <row r="144" spans="1:21" hidden="1" x14ac:dyDescent="0.35">
      <c r="A144" s="215" t="s">
        <v>295</v>
      </c>
      <c r="B144" s="215" t="s">
        <v>586</v>
      </c>
      <c r="C144" s="215" t="s">
        <v>587</v>
      </c>
      <c r="D144" s="215" t="s">
        <v>579</v>
      </c>
      <c r="E144" s="215">
        <v>9</v>
      </c>
      <c r="F144" s="215" t="s">
        <v>580</v>
      </c>
      <c r="H144" s="230" t="s">
        <v>303</v>
      </c>
      <c r="I144" s="135">
        <v>0.25</v>
      </c>
      <c r="J144" s="135" t="s">
        <v>44</v>
      </c>
      <c r="K144" s="134"/>
      <c r="M144" s="33" t="s">
        <v>303</v>
      </c>
      <c r="N144" s="135">
        <v>0.25</v>
      </c>
      <c r="O144" s="135" t="s">
        <v>44</v>
      </c>
      <c r="P144"/>
      <c r="R144" s="33" t="s">
        <v>303</v>
      </c>
      <c r="S144" s="135">
        <v>3</v>
      </c>
    </row>
    <row r="145" spans="1:11" s="124" customFormat="1" ht="15" hidden="1" thickBot="1" x14ac:dyDescent="0.4">
      <c r="A145" s="216" t="s">
        <v>295</v>
      </c>
      <c r="B145" s="216" t="s">
        <v>586</v>
      </c>
      <c r="C145" s="216" t="s">
        <v>587</v>
      </c>
      <c r="D145" s="216" t="s">
        <v>579</v>
      </c>
      <c r="E145" s="216">
        <v>10</v>
      </c>
      <c r="F145" s="216" t="s">
        <v>580</v>
      </c>
    </row>
    <row r="146" spans="1:11" s="114" customFormat="1" ht="18.75" hidden="1" customHeight="1" x14ac:dyDescent="0.45">
      <c r="A146" s="215" t="s">
        <v>295</v>
      </c>
      <c r="B146" s="215" t="s">
        <v>589</v>
      </c>
      <c r="C146" s="215" t="s">
        <v>590</v>
      </c>
      <c r="D146" s="215" t="s">
        <v>399</v>
      </c>
      <c r="E146" s="215">
        <v>1</v>
      </c>
      <c r="F146" s="215" t="s">
        <v>591</v>
      </c>
      <c r="G146" s="125"/>
      <c r="H146" s="116" t="s">
        <v>592</v>
      </c>
      <c r="I146" s="116"/>
      <c r="J146" s="122"/>
      <c r="K146" s="122"/>
    </row>
    <row r="147" spans="1:11" s="114" customFormat="1" hidden="1" x14ac:dyDescent="0.35">
      <c r="A147" s="215" t="s">
        <v>295</v>
      </c>
      <c r="B147" s="215" t="s">
        <v>589</v>
      </c>
      <c r="C147" s="215" t="s">
        <v>590</v>
      </c>
      <c r="D147" s="215" t="s">
        <v>399</v>
      </c>
      <c r="E147" s="215">
        <v>2</v>
      </c>
      <c r="F147" s="215" t="s">
        <v>591</v>
      </c>
      <c r="G147" s="125"/>
      <c r="H147" s="115" t="s">
        <v>535</v>
      </c>
      <c r="I147" s="115" t="s">
        <v>593</v>
      </c>
      <c r="J147" s="115"/>
      <c r="K147" s="115"/>
    </row>
    <row r="148" spans="1:11" s="142" customFormat="1" hidden="1" x14ac:dyDescent="0.35">
      <c r="A148" s="219" t="s">
        <v>295</v>
      </c>
      <c r="B148" s="219" t="s">
        <v>589</v>
      </c>
      <c r="C148" s="219" t="s">
        <v>590</v>
      </c>
      <c r="D148" s="219" t="s">
        <v>399</v>
      </c>
      <c r="E148" s="219">
        <v>3</v>
      </c>
      <c r="F148" s="219" t="s">
        <v>591</v>
      </c>
      <c r="G148" s="157"/>
      <c r="H148" s="118" t="s">
        <v>537</v>
      </c>
      <c r="I148" s="115" t="s">
        <v>96</v>
      </c>
      <c r="J148" s="115" t="s">
        <v>539</v>
      </c>
      <c r="K148" s="115">
        <v>3600</v>
      </c>
    </row>
    <row r="149" spans="1:11" s="142" customFormat="1" hidden="1" x14ac:dyDescent="0.35">
      <c r="A149" s="215" t="s">
        <v>295</v>
      </c>
      <c r="B149" s="215" t="s">
        <v>589</v>
      </c>
      <c r="C149" s="215" t="s">
        <v>590</v>
      </c>
      <c r="D149" s="215" t="s">
        <v>399</v>
      </c>
      <c r="E149" s="215">
        <v>4</v>
      </c>
      <c r="F149" s="215" t="s">
        <v>591</v>
      </c>
      <c r="G149" s="157"/>
      <c r="H149" s="100" t="s">
        <v>90</v>
      </c>
      <c r="I149" s="115">
        <v>2600</v>
      </c>
      <c r="J149" s="115" t="s">
        <v>540</v>
      </c>
      <c r="K149" s="115">
        <v>9</v>
      </c>
    </row>
    <row r="150" spans="1:11" s="114" customFormat="1" hidden="1" x14ac:dyDescent="0.35">
      <c r="A150" s="219" t="s">
        <v>295</v>
      </c>
      <c r="B150" s="219" t="s">
        <v>589</v>
      </c>
      <c r="C150" s="219" t="s">
        <v>590</v>
      </c>
      <c r="D150" s="219" t="s">
        <v>399</v>
      </c>
      <c r="E150" s="219">
        <v>5</v>
      </c>
      <c r="F150" s="219" t="s">
        <v>591</v>
      </c>
      <c r="G150" s="125"/>
      <c r="H150" s="136" t="s">
        <v>300</v>
      </c>
      <c r="I150" s="137" t="s">
        <v>541</v>
      </c>
      <c r="J150" s="137" t="s">
        <v>302</v>
      </c>
      <c r="K150" s="138" t="s">
        <v>542</v>
      </c>
    </row>
    <row r="151" spans="1:11" s="114" customFormat="1" hidden="1" x14ac:dyDescent="0.35">
      <c r="A151" s="215" t="s">
        <v>295</v>
      </c>
      <c r="B151" s="215" t="s">
        <v>589</v>
      </c>
      <c r="C151" s="215" t="s">
        <v>590</v>
      </c>
      <c r="D151" s="215" t="s">
        <v>399</v>
      </c>
      <c r="E151" s="215">
        <v>6</v>
      </c>
      <c r="F151" s="215" t="s">
        <v>591</v>
      </c>
      <c r="G151" s="125"/>
      <c r="H151" s="50" t="s">
        <v>88</v>
      </c>
      <c r="I151" s="160">
        <v>300</v>
      </c>
      <c r="J151" s="134">
        <f>I151*I153</f>
        <v>300</v>
      </c>
      <c r="K151" s="149">
        <f>J151</f>
        <v>300</v>
      </c>
    </row>
    <row r="152" spans="1:11" s="114" customFormat="1" hidden="1" x14ac:dyDescent="0.35">
      <c r="A152" s="215" t="s">
        <v>295</v>
      </c>
      <c r="B152" s="215" t="s">
        <v>589</v>
      </c>
      <c r="C152" s="215" t="s">
        <v>590</v>
      </c>
      <c r="D152" s="215" t="s">
        <v>399</v>
      </c>
      <c r="E152" s="215">
        <v>7</v>
      </c>
      <c r="F152" s="215" t="s">
        <v>591</v>
      </c>
      <c r="G152" s="125"/>
      <c r="H152" s="62" t="s">
        <v>89</v>
      </c>
      <c r="I152" s="72">
        <v>7.4999999999999997E-2</v>
      </c>
      <c r="J152" s="72">
        <f>IF(J153="1.25m",($I152*I153)-(SUM(QuadCoreMass,CS125Mass)*I153),$I152*I153)</f>
        <v>7.4999999999999997E-2</v>
      </c>
      <c r="K152" s="150">
        <f>J152</f>
        <v>7.4999999999999997E-2</v>
      </c>
    </row>
    <row r="153" spans="1:11" s="114" customFormat="1" hidden="1" x14ac:dyDescent="0.35">
      <c r="A153" s="215" t="s">
        <v>295</v>
      </c>
      <c r="B153" s="215" t="s">
        <v>589</v>
      </c>
      <c r="C153" s="215" t="s">
        <v>590</v>
      </c>
      <c r="D153" s="215" t="s">
        <v>399</v>
      </c>
      <c r="E153" s="215">
        <v>8</v>
      </c>
      <c r="F153" s="215" t="s">
        <v>591</v>
      </c>
      <c r="G153" s="125"/>
      <c r="H153" s="230" t="s">
        <v>303</v>
      </c>
      <c r="I153" s="135">
        <v>1</v>
      </c>
      <c r="J153" s="135" t="s">
        <v>44</v>
      </c>
      <c r="K153" s="134"/>
    </row>
    <row r="154" spans="1:11" s="114" customFormat="1" hidden="1" x14ac:dyDescent="0.35">
      <c r="A154" s="215" t="s">
        <v>295</v>
      </c>
      <c r="B154" s="215" t="s">
        <v>589</v>
      </c>
      <c r="C154" s="215" t="s">
        <v>590</v>
      </c>
      <c r="D154" s="215" t="s">
        <v>399</v>
      </c>
      <c r="E154" s="215">
        <v>9</v>
      </c>
      <c r="F154" s="215" t="s">
        <v>591</v>
      </c>
      <c r="G154" s="125"/>
      <c r="H154" s="187"/>
      <c r="I154" s="158"/>
      <c r="J154" s="158"/>
    </row>
    <row r="155" spans="1:11" s="114" customFormat="1" hidden="1" x14ac:dyDescent="0.35">
      <c r="A155" s="215" t="s">
        <v>295</v>
      </c>
      <c r="B155" s="215" t="s">
        <v>589</v>
      </c>
      <c r="C155" s="215" t="s">
        <v>590</v>
      </c>
      <c r="D155" s="215" t="s">
        <v>399</v>
      </c>
      <c r="E155" s="215">
        <v>10</v>
      </c>
      <c r="F155" s="215" t="s">
        <v>591</v>
      </c>
      <c r="G155" s="125"/>
      <c r="H155" s="114" t="s">
        <v>399</v>
      </c>
      <c r="I155" s="114" t="s">
        <v>594</v>
      </c>
    </row>
    <row r="156" spans="1:11" s="114" customFormat="1" ht="15" hidden="1" customHeight="1" x14ac:dyDescent="0.35">
      <c r="A156" s="215" t="s">
        <v>295</v>
      </c>
      <c r="B156" s="215" t="s">
        <v>589</v>
      </c>
      <c r="C156" s="215" t="s">
        <v>590</v>
      </c>
      <c r="D156" s="215" t="s">
        <v>399</v>
      </c>
      <c r="E156" s="215">
        <v>11</v>
      </c>
      <c r="F156" s="215" t="s">
        <v>591</v>
      </c>
      <c r="G156" s="125"/>
      <c r="H156" t="s">
        <v>535</v>
      </c>
      <c r="I156" s="114" t="s">
        <v>595</v>
      </c>
      <c r="K156" s="204"/>
    </row>
    <row r="157" spans="1:11" s="114" customFormat="1" hidden="1" x14ac:dyDescent="0.35">
      <c r="A157" s="215" t="s">
        <v>295</v>
      </c>
      <c r="B157" s="215" t="s">
        <v>589</v>
      </c>
      <c r="C157" s="215" t="s">
        <v>590</v>
      </c>
      <c r="D157" s="215" t="s">
        <v>399</v>
      </c>
      <c r="E157" s="215">
        <v>12</v>
      </c>
      <c r="F157" s="215" t="s">
        <v>591</v>
      </c>
      <c r="G157" s="125"/>
      <c r="H157" s="139" t="s">
        <v>300</v>
      </c>
      <c r="I157" s="140" t="s">
        <v>541</v>
      </c>
      <c r="J157" s="140" t="s">
        <v>302</v>
      </c>
      <c r="K157" s="141" t="s">
        <v>542</v>
      </c>
    </row>
    <row r="158" spans="1:11" s="114" customFormat="1" hidden="1" x14ac:dyDescent="0.35">
      <c r="A158" s="215" t="s">
        <v>295</v>
      </c>
      <c r="B158" s="215" t="s">
        <v>589</v>
      </c>
      <c r="C158" s="215" t="s">
        <v>590</v>
      </c>
      <c r="D158" s="215" t="s">
        <v>399</v>
      </c>
      <c r="E158" s="215">
        <v>13</v>
      </c>
      <c r="F158" s="215" t="s">
        <v>591</v>
      </c>
      <c r="G158" s="125"/>
      <c r="H158" s="62" t="s">
        <v>282</v>
      </c>
      <c r="I158" s="72">
        <v>0.35</v>
      </c>
      <c r="J158" s="72">
        <f>I158*I161</f>
        <v>1.4</v>
      </c>
      <c r="K158" s="154">
        <f>J158</f>
        <v>1.4</v>
      </c>
    </row>
    <row r="159" spans="1:11" s="114" customFormat="1" hidden="1" x14ac:dyDescent="0.35">
      <c r="A159" s="215" t="s">
        <v>295</v>
      </c>
      <c r="B159" s="215" t="s">
        <v>589</v>
      </c>
      <c r="C159" s="215" t="s">
        <v>590</v>
      </c>
      <c r="D159" s="215" t="s">
        <v>399</v>
      </c>
      <c r="E159" s="215">
        <v>14</v>
      </c>
      <c r="F159" s="215" t="s">
        <v>591</v>
      </c>
      <c r="G159" s="125"/>
      <c r="H159" s="50" t="s">
        <v>88</v>
      </c>
      <c r="I159" s="134">
        <v>75</v>
      </c>
      <c r="J159" s="134">
        <f>I159*I161</f>
        <v>300</v>
      </c>
      <c r="K159" s="149">
        <f>J159</f>
        <v>300</v>
      </c>
    </row>
    <row r="160" spans="1:11" s="114" customFormat="1" hidden="1" x14ac:dyDescent="0.35">
      <c r="A160" s="215" t="s">
        <v>295</v>
      </c>
      <c r="B160" s="215" t="s">
        <v>589</v>
      </c>
      <c r="C160" s="215" t="s">
        <v>590</v>
      </c>
      <c r="D160" s="215" t="s">
        <v>399</v>
      </c>
      <c r="E160" s="215">
        <v>15</v>
      </c>
      <c r="F160" s="215" t="s">
        <v>591</v>
      </c>
      <c r="G160" s="125"/>
      <c r="H160" s="62" t="s">
        <v>89</v>
      </c>
      <c r="I160" s="72">
        <v>5.0000000000000001E-3</v>
      </c>
      <c r="J160" s="72">
        <f>IF(J161="1.25m",($I160*I161)-(SUM(QuadCoreMass,CS125Mass)*I161),$I160*I161)</f>
        <v>0.02</v>
      </c>
      <c r="K160" s="150">
        <f>J160</f>
        <v>0.02</v>
      </c>
    </row>
    <row r="161" spans="1:11" s="114" customFormat="1" hidden="1" x14ac:dyDescent="0.35">
      <c r="A161" s="215" t="s">
        <v>295</v>
      </c>
      <c r="B161" s="215" t="s">
        <v>589</v>
      </c>
      <c r="C161" s="215" t="s">
        <v>590</v>
      </c>
      <c r="D161" s="215" t="s">
        <v>399</v>
      </c>
      <c r="E161" s="215">
        <v>16</v>
      </c>
      <c r="F161" s="215" t="s">
        <v>591</v>
      </c>
      <c r="G161" s="125"/>
      <c r="H161" s="230" t="s">
        <v>303</v>
      </c>
      <c r="I161" s="135">
        <v>4</v>
      </c>
      <c r="J161" s="135" t="s">
        <v>44</v>
      </c>
      <c r="K161" s="134"/>
    </row>
    <row r="162" spans="1:11" s="124" customFormat="1" ht="15.75" hidden="1" customHeight="1" thickBot="1" x14ac:dyDescent="0.4">
      <c r="A162" s="216" t="s">
        <v>295</v>
      </c>
      <c r="B162" s="216" t="s">
        <v>589</v>
      </c>
      <c r="C162" s="216" t="s">
        <v>590</v>
      </c>
      <c r="D162" s="216" t="s">
        <v>399</v>
      </c>
      <c r="E162" s="216">
        <v>17</v>
      </c>
      <c r="F162" s="216" t="s">
        <v>591</v>
      </c>
      <c r="G162" s="123"/>
    </row>
    <row r="163" spans="1:11" s="114" customFormat="1" ht="18.75" hidden="1" customHeight="1" x14ac:dyDescent="0.45">
      <c r="A163" s="215" t="s">
        <v>295</v>
      </c>
      <c r="B163" s="215" t="s">
        <v>596</v>
      </c>
      <c r="C163" s="215" t="s">
        <v>597</v>
      </c>
      <c r="D163" s="215" t="s">
        <v>399</v>
      </c>
      <c r="E163" s="215">
        <v>1</v>
      </c>
      <c r="F163" s="215" t="s">
        <v>591</v>
      </c>
      <c r="G163" s="125"/>
      <c r="H163" s="116" t="s">
        <v>598</v>
      </c>
      <c r="I163" s="116"/>
      <c r="J163" s="122"/>
      <c r="K163" s="122"/>
    </row>
    <row r="164" spans="1:11" s="114" customFormat="1" hidden="1" x14ac:dyDescent="0.35">
      <c r="A164" s="215" t="s">
        <v>295</v>
      </c>
      <c r="B164" s="215" t="s">
        <v>596</v>
      </c>
      <c r="C164" s="215" t="s">
        <v>597</v>
      </c>
      <c r="D164" s="215" t="s">
        <v>399</v>
      </c>
      <c r="E164" s="215">
        <v>2</v>
      </c>
      <c r="F164" s="215" t="s">
        <v>591</v>
      </c>
      <c r="G164" s="125"/>
      <c r="H164" s="115" t="s">
        <v>535</v>
      </c>
      <c r="I164" s="115" t="s">
        <v>308</v>
      </c>
      <c r="J164" s="115"/>
      <c r="K164" s="115"/>
    </row>
    <row r="165" spans="1:11" s="114" customFormat="1" hidden="1" x14ac:dyDescent="0.35">
      <c r="A165" s="215" t="s">
        <v>295</v>
      </c>
      <c r="B165" s="215" t="s">
        <v>596</v>
      </c>
      <c r="C165" s="215" t="s">
        <v>597</v>
      </c>
      <c r="D165" s="215" t="s">
        <v>399</v>
      </c>
      <c r="E165" s="215">
        <v>3</v>
      </c>
      <c r="F165" s="215" t="s">
        <v>591</v>
      </c>
      <c r="G165" s="125"/>
      <c r="H165" s="118" t="s">
        <v>537</v>
      </c>
      <c r="I165" s="115" t="s">
        <v>547</v>
      </c>
      <c r="J165" s="115" t="s">
        <v>539</v>
      </c>
      <c r="K165" s="100">
        <v>3400</v>
      </c>
    </row>
    <row r="166" spans="1:11" s="114" customFormat="1" ht="15" hidden="1" customHeight="1" x14ac:dyDescent="0.35">
      <c r="A166" s="215" t="s">
        <v>295</v>
      </c>
      <c r="B166" s="215" t="s">
        <v>596</v>
      </c>
      <c r="C166" s="215" t="s">
        <v>597</v>
      </c>
      <c r="D166" s="215" t="s">
        <v>399</v>
      </c>
      <c r="E166" s="215">
        <v>4</v>
      </c>
      <c r="F166" s="215" t="s">
        <v>591</v>
      </c>
      <c r="G166" s="125"/>
      <c r="H166" s="100" t="s">
        <v>90</v>
      </c>
      <c r="I166" s="115">
        <v>2900</v>
      </c>
      <c r="J166" s="115" t="s">
        <v>540</v>
      </c>
      <c r="K166" s="115">
        <v>14</v>
      </c>
    </row>
    <row r="167" spans="1:11" s="114" customFormat="1" ht="15" hidden="1" customHeight="1" x14ac:dyDescent="0.35">
      <c r="A167" s="215" t="s">
        <v>295</v>
      </c>
      <c r="B167" s="215" t="s">
        <v>596</v>
      </c>
      <c r="C167" s="215" t="s">
        <v>597</v>
      </c>
      <c r="D167" s="215" t="s">
        <v>399</v>
      </c>
      <c r="E167" s="215">
        <v>5</v>
      </c>
      <c r="F167" s="215" t="s">
        <v>591</v>
      </c>
      <c r="G167" s="125"/>
      <c r="H167" s="136" t="s">
        <v>300</v>
      </c>
      <c r="I167" s="137" t="s">
        <v>541</v>
      </c>
      <c r="J167" s="137" t="s">
        <v>302</v>
      </c>
      <c r="K167" s="138" t="s">
        <v>542</v>
      </c>
    </row>
    <row r="168" spans="1:11" s="114" customFormat="1" ht="15" hidden="1" customHeight="1" x14ac:dyDescent="0.35">
      <c r="A168" s="215" t="s">
        <v>295</v>
      </c>
      <c r="B168" s="215" t="s">
        <v>596</v>
      </c>
      <c r="C168" s="215" t="s">
        <v>597</v>
      </c>
      <c r="D168" s="215" t="s">
        <v>399</v>
      </c>
      <c r="E168" s="215">
        <v>6</v>
      </c>
      <c r="F168" s="215" t="s">
        <v>591</v>
      </c>
      <c r="G168" s="125"/>
      <c r="H168" s="50" t="s">
        <v>88</v>
      </c>
      <c r="I168" s="160">
        <f>$K$279</f>
        <v>250</v>
      </c>
      <c r="J168" s="134">
        <f>I168*I170</f>
        <v>625</v>
      </c>
      <c r="K168" s="149">
        <f>J168</f>
        <v>625</v>
      </c>
    </row>
    <row r="169" spans="1:11" s="114" customFormat="1" hidden="1" x14ac:dyDescent="0.35">
      <c r="A169" s="215" t="s">
        <v>295</v>
      </c>
      <c r="B169" s="215" t="s">
        <v>596</v>
      </c>
      <c r="C169" s="215" t="s">
        <v>597</v>
      </c>
      <c r="D169" s="215" t="s">
        <v>399</v>
      </c>
      <c r="E169" s="215">
        <v>7</v>
      </c>
      <c r="F169" s="215" t="s">
        <v>591</v>
      </c>
      <c r="G169" s="125"/>
      <c r="H169" s="62" t="s">
        <v>89</v>
      </c>
      <c r="I169" s="72">
        <f>CS125Mass</f>
        <v>0.05</v>
      </c>
      <c r="J169" s="72">
        <f>IF(J170="1.25m",($I169*I170)-(SUM(QuadCoreMass,CS125Mass)*I170),$I169*I170)</f>
        <v>0.125</v>
      </c>
      <c r="K169" s="150">
        <f>J169</f>
        <v>0.125</v>
      </c>
    </row>
    <row r="170" spans="1:11" s="114" customFormat="1" hidden="1" x14ac:dyDescent="0.35">
      <c r="A170" s="215" t="s">
        <v>295</v>
      </c>
      <c r="B170" s="215" t="s">
        <v>596</v>
      </c>
      <c r="C170" s="215" t="s">
        <v>597</v>
      </c>
      <c r="D170" s="215" t="s">
        <v>399</v>
      </c>
      <c r="E170" s="215">
        <v>8</v>
      </c>
      <c r="F170" s="215" t="s">
        <v>591</v>
      </c>
      <c r="G170" s="125"/>
      <c r="H170" s="230" t="s">
        <v>303</v>
      </c>
      <c r="I170" s="135">
        <v>2.5</v>
      </c>
      <c r="J170" s="135" t="s">
        <v>44</v>
      </c>
      <c r="K170" s="134"/>
    </row>
    <row r="171" spans="1:11" s="114" customFormat="1" hidden="1" x14ac:dyDescent="0.35">
      <c r="A171" s="215" t="s">
        <v>295</v>
      </c>
      <c r="B171" s="215" t="s">
        <v>596</v>
      </c>
      <c r="C171" s="215" t="s">
        <v>597</v>
      </c>
      <c r="D171" s="215" t="s">
        <v>399</v>
      </c>
      <c r="E171" s="215">
        <v>9</v>
      </c>
      <c r="F171" s="215" t="s">
        <v>591</v>
      </c>
      <c r="G171" s="125"/>
    </row>
    <row r="172" spans="1:11" s="114" customFormat="1" hidden="1" x14ac:dyDescent="0.35">
      <c r="A172" s="215" t="s">
        <v>295</v>
      </c>
      <c r="B172" s="215" t="s">
        <v>596</v>
      </c>
      <c r="C172" s="215" t="s">
        <v>597</v>
      </c>
      <c r="D172" s="215" t="s">
        <v>399</v>
      </c>
      <c r="E172" s="215">
        <v>10</v>
      </c>
      <c r="F172" s="215" t="s">
        <v>591</v>
      </c>
      <c r="G172" s="125"/>
      <c r="H172" s="114" t="s">
        <v>399</v>
      </c>
      <c r="I172" s="114" t="s">
        <v>594</v>
      </c>
    </row>
    <row r="173" spans="1:11" s="114" customFormat="1" hidden="1" x14ac:dyDescent="0.35">
      <c r="A173" s="215" t="s">
        <v>295</v>
      </c>
      <c r="B173" s="215" t="s">
        <v>596</v>
      </c>
      <c r="C173" s="215" t="s">
        <v>597</v>
      </c>
      <c r="D173" s="215" t="s">
        <v>399</v>
      </c>
      <c r="E173" s="215">
        <v>11</v>
      </c>
      <c r="F173" s="215" t="s">
        <v>591</v>
      </c>
      <c r="G173" s="125"/>
      <c r="H173" t="s">
        <v>535</v>
      </c>
      <c r="I173" s="114" t="s">
        <v>595</v>
      </c>
      <c r="K173" s="204"/>
    </row>
    <row r="174" spans="1:11" s="114" customFormat="1" hidden="1" x14ac:dyDescent="0.35">
      <c r="A174" s="215" t="s">
        <v>295</v>
      </c>
      <c r="B174" s="215" t="s">
        <v>596</v>
      </c>
      <c r="C174" s="215" t="s">
        <v>597</v>
      </c>
      <c r="D174" s="215" t="s">
        <v>399</v>
      </c>
      <c r="E174" s="215">
        <v>12</v>
      </c>
      <c r="F174" s="215" t="s">
        <v>591</v>
      </c>
      <c r="G174" s="125"/>
      <c r="H174" s="139" t="s">
        <v>300</v>
      </c>
      <c r="I174" s="140" t="s">
        <v>541</v>
      </c>
      <c r="J174" s="140" t="s">
        <v>302</v>
      </c>
      <c r="K174" s="141" t="s">
        <v>542</v>
      </c>
    </row>
    <row r="175" spans="1:11" s="114" customFormat="1" hidden="1" x14ac:dyDescent="0.35">
      <c r="A175" s="215" t="s">
        <v>295</v>
      </c>
      <c r="B175" s="215" t="s">
        <v>596</v>
      </c>
      <c r="C175" s="215" t="s">
        <v>597</v>
      </c>
      <c r="D175" s="215" t="s">
        <v>399</v>
      </c>
      <c r="E175" s="215">
        <v>13</v>
      </c>
      <c r="F175" s="215" t="s">
        <v>591</v>
      </c>
      <c r="G175" s="125"/>
      <c r="H175" s="62" t="s">
        <v>282</v>
      </c>
      <c r="I175" s="72">
        <v>0.3</v>
      </c>
      <c r="J175" s="72">
        <f>I175*I178</f>
        <v>3.5999999999999996</v>
      </c>
      <c r="K175" s="155">
        <f>J175</f>
        <v>3.5999999999999996</v>
      </c>
    </row>
    <row r="176" spans="1:11" s="114" customFormat="1" hidden="1" x14ac:dyDescent="0.35">
      <c r="A176" s="219" t="s">
        <v>295</v>
      </c>
      <c r="B176" s="219" t="s">
        <v>596</v>
      </c>
      <c r="C176" s="219" t="s">
        <v>597</v>
      </c>
      <c r="D176" s="219" t="s">
        <v>399</v>
      </c>
      <c r="E176" s="219">
        <v>14</v>
      </c>
      <c r="F176" s="219" t="s">
        <v>591</v>
      </c>
      <c r="G176" s="125"/>
      <c r="H176" s="50" t="s">
        <v>88</v>
      </c>
      <c r="I176" s="134">
        <v>75</v>
      </c>
      <c r="J176" s="134">
        <f>I176*I178</f>
        <v>900</v>
      </c>
      <c r="K176" s="149">
        <f>J176</f>
        <v>900</v>
      </c>
    </row>
    <row r="177" spans="1:11" s="114" customFormat="1" hidden="1" x14ac:dyDescent="0.35">
      <c r="A177" s="215" t="s">
        <v>295</v>
      </c>
      <c r="B177" s="215" t="s">
        <v>596</v>
      </c>
      <c r="C177" s="215" t="s">
        <v>597</v>
      </c>
      <c r="D177" s="215" t="s">
        <v>399</v>
      </c>
      <c r="E177" s="215">
        <v>15</v>
      </c>
      <c r="F177" s="215" t="s">
        <v>591</v>
      </c>
      <c r="G177" s="125"/>
      <c r="H177" s="62" t="s">
        <v>89</v>
      </c>
      <c r="I177" s="72">
        <v>5.0000000000000001E-3</v>
      </c>
      <c r="J177" s="72">
        <f>IF(J178="1.25m",($I177*I178)-(SUM(QuadCoreMass,CS125Mass)*I178),$I177*I178)</f>
        <v>0.06</v>
      </c>
      <c r="K177" s="150">
        <f>J177</f>
        <v>0.06</v>
      </c>
    </row>
    <row r="178" spans="1:11" s="114" customFormat="1" ht="15" hidden="1" customHeight="1" x14ac:dyDescent="0.35">
      <c r="A178" s="215" t="s">
        <v>295</v>
      </c>
      <c r="B178" s="215" t="s">
        <v>596</v>
      </c>
      <c r="C178" s="215" t="s">
        <v>597</v>
      </c>
      <c r="D178" s="215" t="s">
        <v>399</v>
      </c>
      <c r="E178" s="215">
        <v>16</v>
      </c>
      <c r="F178" s="215" t="s">
        <v>591</v>
      </c>
      <c r="G178" s="125"/>
      <c r="H178" s="230" t="s">
        <v>303</v>
      </c>
      <c r="I178" s="135">
        <v>12</v>
      </c>
      <c r="J178" s="135" t="s">
        <v>44</v>
      </c>
      <c r="K178" s="134"/>
    </row>
    <row r="179" spans="1:11" s="124" customFormat="1" ht="15" hidden="1" thickBot="1" x14ac:dyDescent="0.4">
      <c r="A179" s="216" t="s">
        <v>295</v>
      </c>
      <c r="B179" s="216" t="s">
        <v>596</v>
      </c>
      <c r="C179" s="216" t="s">
        <v>597</v>
      </c>
      <c r="D179" s="216" t="s">
        <v>399</v>
      </c>
      <c r="E179" s="216">
        <v>17</v>
      </c>
      <c r="F179" s="216" t="s">
        <v>591</v>
      </c>
      <c r="G179" s="123"/>
    </row>
    <row r="180" spans="1:11" s="114" customFormat="1" ht="18.75" hidden="1" customHeight="1" x14ac:dyDescent="0.45">
      <c r="A180" s="219" t="s">
        <v>599</v>
      </c>
      <c r="B180" s="219" t="s">
        <v>600</v>
      </c>
      <c r="C180" s="219" t="s">
        <v>601</v>
      </c>
      <c r="D180" s="219" t="s">
        <v>399</v>
      </c>
      <c r="E180" s="219">
        <v>1</v>
      </c>
      <c r="F180" s="219" t="s">
        <v>591</v>
      </c>
      <c r="G180" s="125"/>
      <c r="H180" s="116" t="s">
        <v>602</v>
      </c>
      <c r="I180" s="116"/>
      <c r="J180" s="122"/>
      <c r="K180" s="122"/>
    </row>
    <row r="181" spans="1:11" s="114" customFormat="1" hidden="1" x14ac:dyDescent="0.35">
      <c r="A181" s="215" t="s">
        <v>599</v>
      </c>
      <c r="B181" s="215" t="s">
        <v>600</v>
      </c>
      <c r="C181" s="215" t="s">
        <v>601</v>
      </c>
      <c r="D181" s="215" t="s">
        <v>399</v>
      </c>
      <c r="E181" s="215">
        <v>2</v>
      </c>
      <c r="F181" s="215" t="s">
        <v>591</v>
      </c>
      <c r="G181" s="125"/>
      <c r="H181" s="100" t="s">
        <v>535</v>
      </c>
      <c r="I181" s="115" t="s">
        <v>308</v>
      </c>
      <c r="J181" s="115"/>
      <c r="K181" s="100"/>
    </row>
    <row r="182" spans="1:11" s="114" customFormat="1" hidden="1" x14ac:dyDescent="0.35">
      <c r="A182" s="219" t="s">
        <v>599</v>
      </c>
      <c r="B182" s="219" t="s">
        <v>600</v>
      </c>
      <c r="C182" s="219" t="s">
        <v>601</v>
      </c>
      <c r="D182" s="219" t="s">
        <v>399</v>
      </c>
      <c r="E182" s="219">
        <v>3</v>
      </c>
      <c r="F182" s="219" t="s">
        <v>591</v>
      </c>
      <c r="G182" s="125"/>
      <c r="H182" s="118" t="s">
        <v>537</v>
      </c>
      <c r="I182" s="115" t="s">
        <v>547</v>
      </c>
      <c r="J182" s="115" t="s">
        <v>539</v>
      </c>
      <c r="K182" s="115">
        <v>2800</v>
      </c>
    </row>
    <row r="183" spans="1:11" s="114" customFormat="1" hidden="1" x14ac:dyDescent="0.35">
      <c r="A183" s="215" t="s">
        <v>599</v>
      </c>
      <c r="B183" s="215" t="s">
        <v>600</v>
      </c>
      <c r="C183" s="215" t="s">
        <v>601</v>
      </c>
      <c r="D183" s="215" t="s">
        <v>399</v>
      </c>
      <c r="E183" s="215">
        <v>4</v>
      </c>
      <c r="F183" s="215" t="s">
        <v>591</v>
      </c>
      <c r="G183" s="125"/>
      <c r="H183" s="100" t="s">
        <v>90</v>
      </c>
      <c r="I183" s="115">
        <v>2900</v>
      </c>
      <c r="J183" s="115" t="s">
        <v>540</v>
      </c>
      <c r="K183" s="115">
        <v>14</v>
      </c>
    </row>
    <row r="184" spans="1:11" s="114" customFormat="1" hidden="1" x14ac:dyDescent="0.35">
      <c r="A184" s="215" t="s">
        <v>599</v>
      </c>
      <c r="B184" s="215" t="s">
        <v>600</v>
      </c>
      <c r="C184" s="215" t="s">
        <v>601</v>
      </c>
      <c r="D184" s="215" t="s">
        <v>399</v>
      </c>
      <c r="E184" s="215">
        <v>5</v>
      </c>
      <c r="F184" s="215" t="s">
        <v>591</v>
      </c>
      <c r="G184" s="125"/>
      <c r="H184" s="136" t="s">
        <v>300</v>
      </c>
      <c r="I184" s="137" t="s">
        <v>541</v>
      </c>
      <c r="J184" s="137" t="s">
        <v>302</v>
      </c>
      <c r="K184" s="138" t="s">
        <v>542</v>
      </c>
    </row>
    <row r="185" spans="1:11" s="114" customFormat="1" hidden="1" x14ac:dyDescent="0.35">
      <c r="A185" s="215" t="s">
        <v>599</v>
      </c>
      <c r="B185" s="215" t="s">
        <v>600</v>
      </c>
      <c r="C185" s="215" t="s">
        <v>601</v>
      </c>
      <c r="D185" s="215" t="s">
        <v>399</v>
      </c>
      <c r="E185" s="215">
        <v>6</v>
      </c>
      <c r="F185" s="215" t="s">
        <v>591</v>
      </c>
      <c r="G185" s="125"/>
      <c r="H185" s="50" t="s">
        <v>88</v>
      </c>
      <c r="I185" s="160">
        <f>$K$279</f>
        <v>250</v>
      </c>
      <c r="J185" s="134">
        <f>I185*I187</f>
        <v>250</v>
      </c>
      <c r="K185" s="149">
        <f>J185</f>
        <v>250</v>
      </c>
    </row>
    <row r="186" spans="1:11" s="114" customFormat="1" hidden="1" x14ac:dyDescent="0.35">
      <c r="A186" s="215" t="s">
        <v>599</v>
      </c>
      <c r="B186" s="215" t="s">
        <v>600</v>
      </c>
      <c r="C186" s="215" t="s">
        <v>601</v>
      </c>
      <c r="D186" s="215" t="s">
        <v>399</v>
      </c>
      <c r="E186" s="215">
        <v>7</v>
      </c>
      <c r="F186" s="215" t="s">
        <v>591</v>
      </c>
      <c r="G186" s="125"/>
      <c r="H186" s="62" t="s">
        <v>89</v>
      </c>
      <c r="I186" s="72">
        <f>CS125Mass</f>
        <v>0.05</v>
      </c>
      <c r="J186" s="72">
        <f>IF(J187="1.25m",($I186*I187)-(SUM(QuadCoreMass,CS125Mass)*I187),$I186*I187)</f>
        <v>0.05</v>
      </c>
      <c r="K186" s="150">
        <f>J186</f>
        <v>0.05</v>
      </c>
    </row>
    <row r="187" spans="1:11" s="114" customFormat="1" hidden="1" x14ac:dyDescent="0.35">
      <c r="A187" s="215" t="s">
        <v>599</v>
      </c>
      <c r="B187" s="215" t="s">
        <v>600</v>
      </c>
      <c r="C187" s="215" t="s">
        <v>601</v>
      </c>
      <c r="D187" s="215" t="s">
        <v>399</v>
      </c>
      <c r="E187" s="215">
        <v>8</v>
      </c>
      <c r="F187" s="215" t="s">
        <v>591</v>
      </c>
      <c r="G187" s="125"/>
      <c r="H187" s="230" t="s">
        <v>303</v>
      </c>
      <c r="I187" s="135">
        <v>1</v>
      </c>
      <c r="J187" s="135" t="s">
        <v>44</v>
      </c>
      <c r="K187" s="134"/>
    </row>
    <row r="188" spans="1:11" s="114" customFormat="1" ht="15" hidden="1" customHeight="1" x14ac:dyDescent="0.35">
      <c r="A188" s="215" t="s">
        <v>599</v>
      </c>
      <c r="B188" s="215" t="s">
        <v>600</v>
      </c>
      <c r="C188" s="215" t="s">
        <v>601</v>
      </c>
      <c r="D188" s="215" t="s">
        <v>399</v>
      </c>
      <c r="E188" s="215">
        <v>9</v>
      </c>
      <c r="F188" s="215" t="s">
        <v>591</v>
      </c>
      <c r="G188" s="125"/>
    </row>
    <row r="189" spans="1:11" s="114" customFormat="1" hidden="1" x14ac:dyDescent="0.35">
      <c r="A189" s="215" t="s">
        <v>599</v>
      </c>
      <c r="B189" s="215" t="s">
        <v>600</v>
      </c>
      <c r="C189" s="215" t="s">
        <v>601</v>
      </c>
      <c r="D189" s="215" t="s">
        <v>399</v>
      </c>
      <c r="E189" s="215">
        <v>10</v>
      </c>
      <c r="F189" s="215" t="s">
        <v>591</v>
      </c>
      <c r="G189" s="125"/>
      <c r="H189" s="114" t="s">
        <v>399</v>
      </c>
      <c r="I189" s="114" t="s">
        <v>315</v>
      </c>
    </row>
    <row r="190" spans="1:11" s="114" customFormat="1" hidden="1" x14ac:dyDescent="0.35">
      <c r="A190" s="215" t="s">
        <v>599</v>
      </c>
      <c r="B190" s="215" t="s">
        <v>600</v>
      </c>
      <c r="C190" s="215" t="s">
        <v>601</v>
      </c>
      <c r="D190" s="215" t="s">
        <v>399</v>
      </c>
      <c r="E190" s="215">
        <v>11</v>
      </c>
      <c r="F190" s="215" t="s">
        <v>591</v>
      </c>
      <c r="G190" s="125"/>
      <c r="H190" s="134" t="s">
        <v>535</v>
      </c>
      <c r="I190" s="114" t="s">
        <v>603</v>
      </c>
    </row>
    <row r="191" spans="1:11" s="114" customFormat="1" hidden="1" x14ac:dyDescent="0.35">
      <c r="A191" s="215" t="s">
        <v>599</v>
      </c>
      <c r="B191" s="215" t="s">
        <v>600</v>
      </c>
      <c r="C191" s="215" t="s">
        <v>601</v>
      </c>
      <c r="D191" s="215" t="s">
        <v>399</v>
      </c>
      <c r="E191" s="215">
        <v>12</v>
      </c>
      <c r="F191" s="215" t="s">
        <v>591</v>
      </c>
      <c r="G191" s="125"/>
      <c r="H191" s="139" t="s">
        <v>300</v>
      </c>
      <c r="I191" s="140" t="s">
        <v>541</v>
      </c>
      <c r="J191" s="140" t="s">
        <v>302</v>
      </c>
      <c r="K191" s="141" t="s">
        <v>542</v>
      </c>
    </row>
    <row r="192" spans="1:11" s="114" customFormat="1" hidden="1" x14ac:dyDescent="0.35">
      <c r="A192" s="215" t="s">
        <v>599</v>
      </c>
      <c r="B192" s="215" t="s">
        <v>600</v>
      </c>
      <c r="C192" s="215" t="s">
        <v>601</v>
      </c>
      <c r="D192" s="215" t="s">
        <v>399</v>
      </c>
      <c r="E192" s="215">
        <v>13</v>
      </c>
      <c r="F192" s="215" t="s">
        <v>591</v>
      </c>
      <c r="G192" s="125"/>
      <c r="H192" s="62" t="s">
        <v>286</v>
      </c>
      <c r="I192" s="72">
        <v>120</v>
      </c>
      <c r="J192" s="72">
        <v>40</v>
      </c>
      <c r="K192" s="155">
        <f>J192</f>
        <v>40</v>
      </c>
    </row>
    <row r="193" spans="1:11" s="114" customFormat="1" hidden="1" x14ac:dyDescent="0.35">
      <c r="A193" s="215" t="s">
        <v>599</v>
      </c>
      <c r="B193" s="215" t="s">
        <v>600</v>
      </c>
      <c r="C193" s="215" t="s">
        <v>601</v>
      </c>
      <c r="D193" s="215" t="s">
        <v>399</v>
      </c>
      <c r="E193" s="215">
        <v>14</v>
      </c>
      <c r="F193" s="215" t="s">
        <v>591</v>
      </c>
      <c r="G193" s="125"/>
      <c r="H193" s="50" t="s">
        <v>88</v>
      </c>
      <c r="I193" s="134">
        <v>330</v>
      </c>
      <c r="J193" s="134">
        <f>I193*I195</f>
        <v>108.9</v>
      </c>
      <c r="K193" s="149">
        <f>J193</f>
        <v>108.9</v>
      </c>
    </row>
    <row r="194" spans="1:11" s="114" customFormat="1" hidden="1" x14ac:dyDescent="0.35">
      <c r="A194" s="215" t="s">
        <v>599</v>
      </c>
      <c r="B194" s="215" t="s">
        <v>600</v>
      </c>
      <c r="C194" s="215" t="s">
        <v>601</v>
      </c>
      <c r="D194" s="215" t="s">
        <v>399</v>
      </c>
      <c r="E194" s="215">
        <v>15</v>
      </c>
      <c r="F194" s="215" t="s">
        <v>591</v>
      </c>
      <c r="G194" s="125"/>
      <c r="H194" s="62" t="s">
        <v>89</v>
      </c>
      <c r="I194" s="72">
        <v>0.56000000000000005</v>
      </c>
      <c r="J194" s="72">
        <f>IF(J195="1.25m",($I194*I195)-(SUM(QuadCoreMass,CS125Mass)*I195),$I194*I195)</f>
        <v>0.18480000000000002</v>
      </c>
      <c r="K194" s="150">
        <f>J194</f>
        <v>0.18480000000000002</v>
      </c>
    </row>
    <row r="195" spans="1:11" s="114" customFormat="1" hidden="1" x14ac:dyDescent="0.35">
      <c r="A195" s="215" t="s">
        <v>599</v>
      </c>
      <c r="B195" s="215" t="s">
        <v>600</v>
      </c>
      <c r="C195" s="215" t="s">
        <v>601</v>
      </c>
      <c r="D195" s="215" t="s">
        <v>399</v>
      </c>
      <c r="E195" s="215">
        <v>16</v>
      </c>
      <c r="F195" s="215" t="s">
        <v>591</v>
      </c>
      <c r="G195" s="125"/>
      <c r="H195" s="230" t="s">
        <v>303</v>
      </c>
      <c r="I195" s="135">
        <v>0.33</v>
      </c>
      <c r="J195" s="135" t="s">
        <v>44</v>
      </c>
      <c r="K195" s="134"/>
    </row>
    <row r="196" spans="1:11" s="114" customFormat="1" hidden="1" x14ac:dyDescent="0.35">
      <c r="A196" s="215" t="s">
        <v>599</v>
      </c>
      <c r="B196" s="215" t="s">
        <v>600</v>
      </c>
      <c r="C196" s="215" t="s">
        <v>601</v>
      </c>
      <c r="D196" s="215" t="s">
        <v>399</v>
      </c>
      <c r="E196" s="215">
        <v>17</v>
      </c>
      <c r="F196" s="215" t="s">
        <v>591</v>
      </c>
      <c r="G196" s="125"/>
    </row>
    <row r="197" spans="1:11" s="114" customFormat="1" hidden="1" x14ac:dyDescent="0.35">
      <c r="A197" s="215" t="s">
        <v>599</v>
      </c>
      <c r="B197" s="215" t="s">
        <v>600</v>
      </c>
      <c r="C197" s="215" t="s">
        <v>601</v>
      </c>
      <c r="D197" s="215" t="s">
        <v>399</v>
      </c>
      <c r="E197" s="215">
        <v>18</v>
      </c>
      <c r="F197" s="215" t="s">
        <v>591</v>
      </c>
      <c r="G197" s="125"/>
      <c r="H197" s="114" t="s">
        <v>399</v>
      </c>
      <c r="I197" s="204" t="s">
        <v>604</v>
      </c>
      <c r="J197" s="204"/>
    </row>
    <row r="198" spans="1:11" s="114" customFormat="1" ht="15" hidden="1" customHeight="1" x14ac:dyDescent="0.35">
      <c r="A198" s="215" t="s">
        <v>599</v>
      </c>
      <c r="B198" s="215" t="s">
        <v>600</v>
      </c>
      <c r="C198" s="215" t="s">
        <v>601</v>
      </c>
      <c r="D198" s="215" t="s">
        <v>399</v>
      </c>
      <c r="E198" s="215">
        <v>19</v>
      </c>
      <c r="F198" s="215" t="s">
        <v>591</v>
      </c>
      <c r="G198" s="125"/>
      <c r="H198" s="134" t="s">
        <v>535</v>
      </c>
      <c r="I198" s="114" t="s">
        <v>605</v>
      </c>
    </row>
    <row r="199" spans="1:11" s="114" customFormat="1" ht="15" hidden="1" customHeight="1" x14ac:dyDescent="0.35">
      <c r="A199" s="219" t="s">
        <v>599</v>
      </c>
      <c r="B199" s="219" t="s">
        <v>600</v>
      </c>
      <c r="C199" s="219" t="s">
        <v>601</v>
      </c>
      <c r="D199" s="219" t="s">
        <v>399</v>
      </c>
      <c r="E199" s="219">
        <v>20</v>
      </c>
      <c r="F199" s="219" t="s">
        <v>591</v>
      </c>
      <c r="G199" s="125"/>
      <c r="H199" s="139" t="s">
        <v>300</v>
      </c>
      <c r="I199" s="140" t="s">
        <v>541</v>
      </c>
      <c r="J199" s="140" t="s">
        <v>302</v>
      </c>
      <c r="K199" s="141" t="s">
        <v>542</v>
      </c>
    </row>
    <row r="200" spans="1:11" s="114" customFormat="1" ht="15" hidden="1" customHeight="1" x14ac:dyDescent="0.35">
      <c r="A200" s="215" t="s">
        <v>599</v>
      </c>
      <c r="B200" s="215" t="s">
        <v>600</v>
      </c>
      <c r="C200" s="215" t="s">
        <v>601</v>
      </c>
      <c r="D200" s="215" t="s">
        <v>399</v>
      </c>
      <c r="E200" s="215">
        <v>21</v>
      </c>
      <c r="F200" s="215" t="s">
        <v>591</v>
      </c>
      <c r="G200" s="125"/>
      <c r="H200" s="50" t="s">
        <v>285</v>
      </c>
      <c r="I200" s="134">
        <v>27</v>
      </c>
      <c r="J200" s="134">
        <v>40.5</v>
      </c>
      <c r="K200" s="149">
        <f>VLOOKUP(ROUND(J200,0),Fuel1.2RatioWholeNumbers[],1,TRUE)</f>
        <v>40</v>
      </c>
    </row>
    <row r="201" spans="1:11" s="114" customFormat="1" hidden="1" x14ac:dyDescent="0.35">
      <c r="A201" s="215" t="s">
        <v>599</v>
      </c>
      <c r="B201" s="215" t="s">
        <v>600</v>
      </c>
      <c r="C201" s="215" t="s">
        <v>601</v>
      </c>
      <c r="D201" s="215" t="s">
        <v>399</v>
      </c>
      <c r="E201" s="215">
        <v>22</v>
      </c>
      <c r="F201" s="215" t="s">
        <v>591</v>
      </c>
      <c r="G201" s="125"/>
      <c r="H201" s="62" t="s">
        <v>288</v>
      </c>
      <c r="I201" s="72">
        <v>33</v>
      </c>
      <c r="J201" s="72">
        <v>49.5</v>
      </c>
      <c r="K201" s="159">
        <f>K200*1.2</f>
        <v>48</v>
      </c>
    </row>
    <row r="202" spans="1:11" s="114" customFormat="1" hidden="1" x14ac:dyDescent="0.35">
      <c r="A202" s="219" t="s">
        <v>599</v>
      </c>
      <c r="B202" s="219" t="s">
        <v>600</v>
      </c>
      <c r="C202" s="219" t="s">
        <v>601</v>
      </c>
      <c r="D202" s="219" t="s">
        <v>399</v>
      </c>
      <c r="E202" s="219">
        <v>23</v>
      </c>
      <c r="F202" s="219" t="s">
        <v>591</v>
      </c>
      <c r="G202" s="125"/>
      <c r="H202" s="50" t="s">
        <v>88</v>
      </c>
      <c r="I202" s="134">
        <v>147</v>
      </c>
      <c r="J202" s="134">
        <f>I202*I204</f>
        <v>220.5</v>
      </c>
      <c r="K202" s="149">
        <f>J202</f>
        <v>220.5</v>
      </c>
    </row>
    <row r="203" spans="1:11" s="114" customFormat="1" hidden="1" x14ac:dyDescent="0.35">
      <c r="A203" s="215" t="s">
        <v>599</v>
      </c>
      <c r="B203" s="215" t="s">
        <v>600</v>
      </c>
      <c r="C203" s="215" t="s">
        <v>601</v>
      </c>
      <c r="D203" s="215" t="s">
        <v>399</v>
      </c>
      <c r="E203" s="215">
        <v>24</v>
      </c>
      <c r="F203" s="215" t="s">
        <v>591</v>
      </c>
      <c r="G203" s="125"/>
      <c r="H203" s="62" t="s">
        <v>89</v>
      </c>
      <c r="I203" s="72">
        <v>0.33750000000000002</v>
      </c>
      <c r="J203" s="72">
        <f>IF(J204="1.25m",($I203*I204)-(SUM(QuadCoreMass,CS125Mass)*I204),$I203*I204)</f>
        <v>0.50625000000000009</v>
      </c>
      <c r="K203" s="150">
        <f>J203</f>
        <v>0.50625000000000009</v>
      </c>
    </row>
    <row r="204" spans="1:11" s="114" customFormat="1" hidden="1" x14ac:dyDescent="0.35">
      <c r="A204" s="215" t="s">
        <v>599</v>
      </c>
      <c r="B204" s="215" t="s">
        <v>600</v>
      </c>
      <c r="C204" s="215" t="s">
        <v>601</v>
      </c>
      <c r="D204" s="215" t="s">
        <v>399</v>
      </c>
      <c r="E204" s="215">
        <v>25</v>
      </c>
      <c r="F204" s="215" t="s">
        <v>591</v>
      </c>
      <c r="G204" s="125"/>
      <c r="H204" s="230" t="s">
        <v>303</v>
      </c>
      <c r="I204" s="236">
        <v>1.5</v>
      </c>
      <c r="J204" s="236" t="s">
        <v>44</v>
      </c>
      <c r="K204" s="134"/>
    </row>
    <row r="205" spans="1:11" s="114" customFormat="1" hidden="1" x14ac:dyDescent="0.35">
      <c r="A205" s="219" t="s">
        <v>599</v>
      </c>
      <c r="B205" s="219" t="s">
        <v>600</v>
      </c>
      <c r="C205" s="219" t="s">
        <v>601</v>
      </c>
      <c r="D205" s="219" t="s">
        <v>399</v>
      </c>
      <c r="E205" s="219">
        <v>26</v>
      </c>
      <c r="F205" s="219" t="s">
        <v>591</v>
      </c>
      <c r="G205" s="125"/>
    </row>
    <row r="206" spans="1:11" s="114" customFormat="1" hidden="1" x14ac:dyDescent="0.35">
      <c r="A206" s="215" t="s">
        <v>599</v>
      </c>
      <c r="B206" s="215" t="s">
        <v>600</v>
      </c>
      <c r="C206" s="215" t="s">
        <v>601</v>
      </c>
      <c r="D206" s="215" t="s">
        <v>399</v>
      </c>
      <c r="E206" s="215">
        <v>27</v>
      </c>
      <c r="F206" s="215" t="s">
        <v>591</v>
      </c>
      <c r="G206" s="125"/>
      <c r="H206" s="114" t="s">
        <v>399</v>
      </c>
      <c r="I206" s="114" t="s">
        <v>594</v>
      </c>
    </row>
    <row r="207" spans="1:11" s="114" customFormat="1" hidden="1" x14ac:dyDescent="0.35">
      <c r="A207" s="215" t="s">
        <v>599</v>
      </c>
      <c r="B207" s="215" t="s">
        <v>600</v>
      </c>
      <c r="C207" s="215" t="s">
        <v>601</v>
      </c>
      <c r="D207" s="215" t="s">
        <v>399</v>
      </c>
      <c r="E207" s="215">
        <v>28</v>
      </c>
      <c r="F207" s="215" t="s">
        <v>591</v>
      </c>
      <c r="G207" s="125"/>
      <c r="H207" t="s">
        <v>535</v>
      </c>
      <c r="I207" s="114" t="s">
        <v>595</v>
      </c>
      <c r="K207" s="204"/>
    </row>
    <row r="208" spans="1:11" s="114" customFormat="1" hidden="1" x14ac:dyDescent="0.35">
      <c r="A208" s="215" t="s">
        <v>599</v>
      </c>
      <c r="B208" s="215" t="s">
        <v>600</v>
      </c>
      <c r="C208" s="215" t="s">
        <v>601</v>
      </c>
      <c r="D208" s="215" t="s">
        <v>399</v>
      </c>
      <c r="E208" s="215">
        <v>29</v>
      </c>
      <c r="F208" s="215" t="s">
        <v>591</v>
      </c>
      <c r="G208" s="125"/>
      <c r="H208" s="139" t="s">
        <v>300</v>
      </c>
      <c r="I208" s="140" t="s">
        <v>541</v>
      </c>
      <c r="J208" s="140" t="s">
        <v>302</v>
      </c>
      <c r="K208" s="141" t="s">
        <v>542</v>
      </c>
    </row>
    <row r="209" spans="1:11" s="114" customFormat="1" hidden="1" x14ac:dyDescent="0.35">
      <c r="A209" s="215" t="s">
        <v>599</v>
      </c>
      <c r="B209" s="215" t="s">
        <v>600</v>
      </c>
      <c r="C209" s="215" t="s">
        <v>601</v>
      </c>
      <c r="D209" s="215" t="s">
        <v>399</v>
      </c>
      <c r="E209" s="215">
        <v>30</v>
      </c>
      <c r="F209" s="215" t="s">
        <v>591</v>
      </c>
      <c r="G209" s="125"/>
      <c r="H209" s="62" t="s">
        <v>282</v>
      </c>
      <c r="I209" s="72">
        <v>0.3</v>
      </c>
      <c r="J209" s="72">
        <f>I209*I212</f>
        <v>0.89999999999999991</v>
      </c>
      <c r="K209" s="155">
        <f>J209</f>
        <v>0.89999999999999991</v>
      </c>
    </row>
    <row r="210" spans="1:11" s="114" customFormat="1" hidden="1" x14ac:dyDescent="0.35">
      <c r="A210" s="215" t="s">
        <v>599</v>
      </c>
      <c r="B210" s="215" t="s">
        <v>600</v>
      </c>
      <c r="C210" s="215" t="s">
        <v>601</v>
      </c>
      <c r="D210" s="215" t="s">
        <v>399</v>
      </c>
      <c r="E210" s="215">
        <v>31</v>
      </c>
      <c r="F210" s="215" t="s">
        <v>591</v>
      </c>
      <c r="G210" s="125"/>
      <c r="H210" s="50" t="s">
        <v>88</v>
      </c>
      <c r="I210" s="134">
        <v>75</v>
      </c>
      <c r="J210" s="134">
        <f>I210*I212</f>
        <v>225</v>
      </c>
      <c r="K210" s="149">
        <f>J210</f>
        <v>225</v>
      </c>
    </row>
    <row r="211" spans="1:11" s="114" customFormat="1" ht="15" hidden="1" customHeight="1" x14ac:dyDescent="0.35">
      <c r="A211" s="215" t="s">
        <v>599</v>
      </c>
      <c r="B211" s="215" t="s">
        <v>600</v>
      </c>
      <c r="C211" s="215" t="s">
        <v>601</v>
      </c>
      <c r="D211" s="215" t="s">
        <v>399</v>
      </c>
      <c r="E211" s="215">
        <v>32</v>
      </c>
      <c r="F211" s="215" t="s">
        <v>591</v>
      </c>
      <c r="G211" s="125"/>
      <c r="H211" s="62" t="s">
        <v>89</v>
      </c>
      <c r="I211" s="72">
        <v>5.0000000000000001E-3</v>
      </c>
      <c r="J211" s="72">
        <f>IF(J212="1.25m",($I211*I212)-(SUM(QuadCoreMass,CS125Mass)*I212),$I211*I212)</f>
        <v>1.4999999999999999E-2</v>
      </c>
      <c r="K211" s="150">
        <f>J211</f>
        <v>1.4999999999999999E-2</v>
      </c>
    </row>
    <row r="212" spans="1:11" s="114" customFormat="1" hidden="1" x14ac:dyDescent="0.35">
      <c r="A212" s="215" t="s">
        <v>599</v>
      </c>
      <c r="B212" s="215" t="s">
        <v>600</v>
      </c>
      <c r="C212" s="215" t="s">
        <v>601</v>
      </c>
      <c r="D212" s="215" t="s">
        <v>399</v>
      </c>
      <c r="E212" s="215">
        <v>33</v>
      </c>
      <c r="F212" s="215" t="s">
        <v>591</v>
      </c>
      <c r="G212" s="125"/>
      <c r="H212" s="230" t="s">
        <v>303</v>
      </c>
      <c r="I212" s="135">
        <f>0.75*4</f>
        <v>3</v>
      </c>
      <c r="J212" s="135" t="s">
        <v>44</v>
      </c>
      <c r="K212" s="134"/>
    </row>
    <row r="213" spans="1:11" s="124" customFormat="1" ht="15" hidden="1" thickBot="1" x14ac:dyDescent="0.4">
      <c r="A213" s="216" t="s">
        <v>599</v>
      </c>
      <c r="B213" s="216" t="s">
        <v>600</v>
      </c>
      <c r="C213" s="216" t="s">
        <v>601</v>
      </c>
      <c r="D213" s="216" t="s">
        <v>399</v>
      </c>
      <c r="E213" s="216">
        <v>34</v>
      </c>
      <c r="F213" s="216" t="s">
        <v>591</v>
      </c>
      <c r="G213" s="123"/>
    </row>
    <row r="214" spans="1:11" s="114" customFormat="1" ht="18.75" hidden="1" customHeight="1" x14ac:dyDescent="0.45">
      <c r="A214" s="215" t="s">
        <v>599</v>
      </c>
      <c r="B214" s="215" t="s">
        <v>606</v>
      </c>
      <c r="C214" s="215" t="s">
        <v>607</v>
      </c>
      <c r="D214" s="215" t="s">
        <v>399</v>
      </c>
      <c r="E214" s="215">
        <v>1</v>
      </c>
      <c r="F214" s="215" t="s">
        <v>591</v>
      </c>
      <c r="G214" s="125"/>
      <c r="H214" s="116" t="s">
        <v>608</v>
      </c>
      <c r="I214" s="116"/>
      <c r="J214" s="122"/>
      <c r="K214" s="122"/>
    </row>
    <row r="215" spans="1:11" s="114" customFormat="1" hidden="1" x14ac:dyDescent="0.35">
      <c r="A215" s="215" t="s">
        <v>599</v>
      </c>
      <c r="B215" s="215" t="s">
        <v>606</v>
      </c>
      <c r="C215" s="215" t="s">
        <v>607</v>
      </c>
      <c r="D215" s="215" t="s">
        <v>399</v>
      </c>
      <c r="E215" s="215">
        <v>2</v>
      </c>
      <c r="F215" s="215" t="s">
        <v>591</v>
      </c>
      <c r="G215" s="125"/>
      <c r="H215" s="100" t="s">
        <v>535</v>
      </c>
      <c r="I215" s="115" t="s">
        <v>609</v>
      </c>
      <c r="J215" s="115"/>
      <c r="K215" s="100"/>
    </row>
    <row r="216" spans="1:11" s="114" customFormat="1" hidden="1" x14ac:dyDescent="0.35">
      <c r="A216" s="219" t="s">
        <v>599</v>
      </c>
      <c r="B216" s="219" t="s">
        <v>606</v>
      </c>
      <c r="C216" s="219" t="s">
        <v>607</v>
      </c>
      <c r="D216" s="219" t="s">
        <v>399</v>
      </c>
      <c r="E216" s="219">
        <v>3</v>
      </c>
      <c r="F216" s="219" t="s">
        <v>591</v>
      </c>
      <c r="G216" s="125"/>
      <c r="H216" s="118" t="s">
        <v>537</v>
      </c>
      <c r="I216" s="115" t="s">
        <v>547</v>
      </c>
      <c r="J216" s="115" t="s">
        <v>539</v>
      </c>
      <c r="K216" s="115">
        <v>3200</v>
      </c>
    </row>
    <row r="217" spans="1:11" s="114" customFormat="1" hidden="1" x14ac:dyDescent="0.35">
      <c r="A217" s="215" t="s">
        <v>599</v>
      </c>
      <c r="B217" s="215" t="s">
        <v>606</v>
      </c>
      <c r="C217" s="215" t="s">
        <v>607</v>
      </c>
      <c r="D217" s="215" t="s">
        <v>399</v>
      </c>
      <c r="E217" s="215">
        <v>4</v>
      </c>
      <c r="F217" s="215" t="s">
        <v>591</v>
      </c>
      <c r="G217" s="125"/>
      <c r="H217" s="100" t="s">
        <v>90</v>
      </c>
      <c r="I217" s="115">
        <v>2900</v>
      </c>
      <c r="J217" s="115" t="s">
        <v>540</v>
      </c>
      <c r="K217" s="115">
        <v>14</v>
      </c>
    </row>
    <row r="218" spans="1:11" s="114" customFormat="1" hidden="1" x14ac:dyDescent="0.35">
      <c r="A218" s="215" t="s">
        <v>599</v>
      </c>
      <c r="B218" s="215" t="s">
        <v>606</v>
      </c>
      <c r="C218" s="215" t="s">
        <v>607</v>
      </c>
      <c r="D218" s="215" t="s">
        <v>399</v>
      </c>
      <c r="E218" s="215">
        <v>5</v>
      </c>
      <c r="F218" s="215" t="s">
        <v>591</v>
      </c>
      <c r="G218" s="125"/>
      <c r="H218" s="136" t="s">
        <v>300</v>
      </c>
      <c r="I218" s="137" t="s">
        <v>541</v>
      </c>
      <c r="J218" s="137" t="s">
        <v>302</v>
      </c>
      <c r="K218" s="138" t="s">
        <v>542</v>
      </c>
    </row>
    <row r="219" spans="1:11" s="114" customFormat="1" hidden="1" x14ac:dyDescent="0.35">
      <c r="A219" s="215" t="s">
        <v>599</v>
      </c>
      <c r="B219" s="215" t="s">
        <v>606</v>
      </c>
      <c r="C219" s="215" t="s">
        <v>607</v>
      </c>
      <c r="D219" s="215" t="s">
        <v>399</v>
      </c>
      <c r="E219" s="215">
        <v>6</v>
      </c>
      <c r="F219" s="215" t="s">
        <v>591</v>
      </c>
      <c r="G219" s="125"/>
      <c r="H219" s="50" t="s">
        <v>88</v>
      </c>
      <c r="I219" s="160">
        <f>$K$279</f>
        <v>250</v>
      </c>
      <c r="J219" s="134">
        <f>I219*I221</f>
        <v>500</v>
      </c>
      <c r="K219" s="149">
        <f>J219</f>
        <v>500</v>
      </c>
    </row>
    <row r="220" spans="1:11" s="114" customFormat="1" hidden="1" x14ac:dyDescent="0.35">
      <c r="A220" s="215" t="s">
        <v>599</v>
      </c>
      <c r="B220" s="215" t="s">
        <v>606</v>
      </c>
      <c r="C220" s="215" t="s">
        <v>607</v>
      </c>
      <c r="D220" s="215" t="s">
        <v>399</v>
      </c>
      <c r="E220" s="215">
        <v>7</v>
      </c>
      <c r="F220" s="215" t="s">
        <v>591</v>
      </c>
      <c r="G220" s="125"/>
      <c r="H220" s="62" t="s">
        <v>89</v>
      </c>
      <c r="I220" s="72">
        <f>CS125Mass</f>
        <v>0.05</v>
      </c>
      <c r="J220" s="72">
        <f>IF(J221="1.25m",($I220*I221)-(SUM(QuadCoreMass,CS125Mass)*I221),$I220*I221)</f>
        <v>0.1</v>
      </c>
      <c r="K220" s="150">
        <f>J220</f>
        <v>0.1</v>
      </c>
    </row>
    <row r="221" spans="1:11" s="114" customFormat="1" hidden="1" x14ac:dyDescent="0.35">
      <c r="A221" s="215" t="s">
        <v>599</v>
      </c>
      <c r="B221" s="215" t="s">
        <v>606</v>
      </c>
      <c r="C221" s="215" t="s">
        <v>607</v>
      </c>
      <c r="D221" s="215" t="s">
        <v>399</v>
      </c>
      <c r="E221" s="215">
        <v>8</v>
      </c>
      <c r="F221" s="215" t="s">
        <v>591</v>
      </c>
      <c r="G221" s="125"/>
      <c r="H221" s="230" t="s">
        <v>303</v>
      </c>
      <c r="I221" s="135">
        <v>2</v>
      </c>
      <c r="J221" s="135" t="s">
        <v>44</v>
      </c>
      <c r="K221" s="134"/>
    </row>
    <row r="222" spans="1:11" s="114" customFormat="1" hidden="1" x14ac:dyDescent="0.35">
      <c r="A222" s="215" t="s">
        <v>599</v>
      </c>
      <c r="B222" s="215" t="s">
        <v>606</v>
      </c>
      <c r="C222" s="215" t="s">
        <v>607</v>
      </c>
      <c r="D222" s="215" t="s">
        <v>399</v>
      </c>
      <c r="E222" s="215">
        <v>9</v>
      </c>
      <c r="F222" s="215" t="s">
        <v>591</v>
      </c>
      <c r="G222" s="125"/>
    </row>
    <row r="223" spans="1:11" s="114" customFormat="1" hidden="1" x14ac:dyDescent="0.35">
      <c r="A223" s="215" t="s">
        <v>599</v>
      </c>
      <c r="B223" s="215" t="s">
        <v>606</v>
      </c>
      <c r="C223" s="215" t="s">
        <v>607</v>
      </c>
      <c r="D223" s="215" t="s">
        <v>399</v>
      </c>
      <c r="E223" s="215">
        <v>10</v>
      </c>
      <c r="F223" s="215" t="s">
        <v>591</v>
      </c>
      <c r="G223" s="125"/>
      <c r="H223" s="114" t="s">
        <v>399</v>
      </c>
      <c r="I223" s="114" t="s">
        <v>604</v>
      </c>
    </row>
    <row r="224" spans="1:11" s="114" customFormat="1" hidden="1" x14ac:dyDescent="0.35">
      <c r="A224" s="215" t="s">
        <v>599</v>
      </c>
      <c r="B224" s="215" t="s">
        <v>606</v>
      </c>
      <c r="C224" s="215" t="s">
        <v>607</v>
      </c>
      <c r="D224" s="215" t="s">
        <v>399</v>
      </c>
      <c r="E224" s="215">
        <v>11</v>
      </c>
      <c r="F224" s="215" t="s">
        <v>591</v>
      </c>
      <c r="G224" s="125"/>
      <c r="H224" s="134" t="s">
        <v>535</v>
      </c>
      <c r="I224" s="114" t="s">
        <v>605</v>
      </c>
    </row>
    <row r="225" spans="1:11" s="114" customFormat="1" hidden="1" x14ac:dyDescent="0.35">
      <c r="A225" s="215" t="s">
        <v>599</v>
      </c>
      <c r="B225" s="215" t="s">
        <v>606</v>
      </c>
      <c r="C225" s="215" t="s">
        <v>607</v>
      </c>
      <c r="D225" s="215" t="s">
        <v>399</v>
      </c>
      <c r="E225" s="215">
        <v>12</v>
      </c>
      <c r="F225" s="215" t="s">
        <v>591</v>
      </c>
      <c r="G225" s="125"/>
      <c r="H225" s="139" t="s">
        <v>300</v>
      </c>
      <c r="I225" s="140" t="s">
        <v>541</v>
      </c>
      <c r="J225" s="140" t="s">
        <v>302</v>
      </c>
      <c r="K225" s="141" t="s">
        <v>542</v>
      </c>
    </row>
    <row r="226" spans="1:11" s="114" customFormat="1" ht="15" hidden="1" customHeight="1" x14ac:dyDescent="0.35">
      <c r="A226" s="215" t="s">
        <v>599</v>
      </c>
      <c r="B226" s="215" t="s">
        <v>606</v>
      </c>
      <c r="C226" s="215" t="s">
        <v>607</v>
      </c>
      <c r="D226" s="215" t="s">
        <v>399</v>
      </c>
      <c r="E226" s="215">
        <v>13</v>
      </c>
      <c r="F226" s="215" t="s">
        <v>591</v>
      </c>
      <c r="G226" s="125"/>
      <c r="H226" s="50" t="s">
        <v>285</v>
      </c>
      <c r="I226" s="134">
        <v>27</v>
      </c>
      <c r="J226" s="134">
        <v>40.5</v>
      </c>
      <c r="K226" s="149">
        <f>VLOOKUP(ROUND(J226,0),Fuel1.2RatioWholeNumbers[],1,TRUE)</f>
        <v>40</v>
      </c>
    </row>
    <row r="227" spans="1:11" s="114" customFormat="1" hidden="1" x14ac:dyDescent="0.35">
      <c r="A227" s="215" t="s">
        <v>599</v>
      </c>
      <c r="B227" s="215" t="s">
        <v>606</v>
      </c>
      <c r="C227" s="215" t="s">
        <v>607</v>
      </c>
      <c r="D227" s="215" t="s">
        <v>399</v>
      </c>
      <c r="E227" s="215">
        <v>14</v>
      </c>
      <c r="F227" s="215" t="s">
        <v>591</v>
      </c>
      <c r="G227" s="125"/>
      <c r="H227" s="62" t="s">
        <v>288</v>
      </c>
      <c r="I227" s="72">
        <v>33</v>
      </c>
      <c r="J227" s="72">
        <v>49.5</v>
      </c>
      <c r="K227" s="159">
        <f>K226*1.2</f>
        <v>48</v>
      </c>
    </row>
    <row r="228" spans="1:11" s="114" customFormat="1" hidden="1" x14ac:dyDescent="0.35">
      <c r="A228" s="219" t="s">
        <v>599</v>
      </c>
      <c r="B228" s="219" t="s">
        <v>606</v>
      </c>
      <c r="C228" s="219" t="s">
        <v>607</v>
      </c>
      <c r="D228" s="219" t="s">
        <v>399</v>
      </c>
      <c r="E228" s="219">
        <v>15</v>
      </c>
      <c r="F228" s="219" t="s">
        <v>591</v>
      </c>
      <c r="G228" s="125"/>
      <c r="H228" s="50" t="s">
        <v>88</v>
      </c>
      <c r="I228" s="134">
        <v>147</v>
      </c>
      <c r="J228" s="134">
        <f>I228*I230</f>
        <v>220.5</v>
      </c>
      <c r="K228" s="149">
        <f>J228</f>
        <v>220.5</v>
      </c>
    </row>
    <row r="229" spans="1:11" s="114" customFormat="1" hidden="1" x14ac:dyDescent="0.35">
      <c r="A229" s="215" t="s">
        <v>599</v>
      </c>
      <c r="B229" s="215" t="s">
        <v>606</v>
      </c>
      <c r="C229" s="215" t="s">
        <v>607</v>
      </c>
      <c r="D229" s="215" t="s">
        <v>399</v>
      </c>
      <c r="E229" s="215">
        <v>16</v>
      </c>
      <c r="F229" s="215" t="s">
        <v>591</v>
      </c>
      <c r="G229" s="125"/>
      <c r="H229" s="62" t="s">
        <v>89</v>
      </c>
      <c r="I229" s="72">
        <v>0.33750000000000002</v>
      </c>
      <c r="J229" s="72">
        <f>IF(J230="1.25m",($I229*I230)-(SUM(QuadCoreMass,CS125Mass)*I230),$I229*I230)</f>
        <v>0.50625000000000009</v>
      </c>
      <c r="K229" s="150">
        <f>J229</f>
        <v>0.50625000000000009</v>
      </c>
    </row>
    <row r="230" spans="1:11" s="114" customFormat="1" hidden="1" x14ac:dyDescent="0.35">
      <c r="A230" s="215" t="s">
        <v>599</v>
      </c>
      <c r="B230" s="215" t="s">
        <v>606</v>
      </c>
      <c r="C230" s="215" t="s">
        <v>607</v>
      </c>
      <c r="D230" s="215" t="s">
        <v>399</v>
      </c>
      <c r="E230" s="215">
        <v>17</v>
      </c>
      <c r="F230" s="215" t="s">
        <v>591</v>
      </c>
      <c r="G230" s="125"/>
      <c r="H230" s="230" t="s">
        <v>303</v>
      </c>
      <c r="I230" s="135">
        <v>1.5</v>
      </c>
      <c r="J230" s="135" t="s">
        <v>44</v>
      </c>
      <c r="K230" s="134"/>
    </row>
    <row r="231" spans="1:11" s="114" customFormat="1" hidden="1" x14ac:dyDescent="0.35">
      <c r="A231" s="215" t="s">
        <v>599</v>
      </c>
      <c r="B231" s="215" t="s">
        <v>606</v>
      </c>
      <c r="C231" s="215" t="s">
        <v>607</v>
      </c>
      <c r="D231" s="215" t="s">
        <v>399</v>
      </c>
      <c r="E231" s="215">
        <v>18</v>
      </c>
      <c r="F231" s="215" t="s">
        <v>591</v>
      </c>
      <c r="G231" s="125"/>
      <c r="I231" s="204"/>
      <c r="J231" s="204"/>
    </row>
    <row r="232" spans="1:11" s="114" customFormat="1" hidden="1" x14ac:dyDescent="0.35">
      <c r="A232" s="215" t="s">
        <v>599</v>
      </c>
      <c r="B232" s="215" t="s">
        <v>606</v>
      </c>
      <c r="C232" s="215" t="s">
        <v>607</v>
      </c>
      <c r="D232" s="215" t="s">
        <v>399</v>
      </c>
      <c r="E232" s="215">
        <v>19</v>
      </c>
      <c r="F232" s="215" t="s">
        <v>591</v>
      </c>
      <c r="G232" s="125"/>
      <c r="H232" s="114" t="s">
        <v>399</v>
      </c>
      <c r="I232" s="114" t="s">
        <v>315</v>
      </c>
    </row>
    <row r="233" spans="1:11" s="114" customFormat="1" hidden="1" x14ac:dyDescent="0.35">
      <c r="A233" s="215" t="s">
        <v>599</v>
      </c>
      <c r="B233" s="215" t="s">
        <v>606</v>
      </c>
      <c r="C233" s="215" t="s">
        <v>607</v>
      </c>
      <c r="D233" s="215" t="s">
        <v>399</v>
      </c>
      <c r="E233" s="215">
        <v>20</v>
      </c>
      <c r="F233" s="215" t="s">
        <v>591</v>
      </c>
      <c r="G233" s="125"/>
      <c r="H233" t="s">
        <v>535</v>
      </c>
      <c r="I233" s="114" t="s">
        <v>603</v>
      </c>
      <c r="K233" s="204"/>
    </row>
    <row r="234" spans="1:11" s="114" customFormat="1" hidden="1" x14ac:dyDescent="0.35">
      <c r="A234" s="215" t="s">
        <v>599</v>
      </c>
      <c r="B234" s="215" t="s">
        <v>606</v>
      </c>
      <c r="C234" s="215" t="s">
        <v>607</v>
      </c>
      <c r="D234" s="215" t="s">
        <v>399</v>
      </c>
      <c r="E234" s="215">
        <v>21</v>
      </c>
      <c r="F234" s="215" t="s">
        <v>591</v>
      </c>
      <c r="G234" s="125"/>
      <c r="H234" s="139" t="s">
        <v>300</v>
      </c>
      <c r="I234" s="140" t="s">
        <v>541</v>
      </c>
      <c r="J234" s="140" t="s">
        <v>302</v>
      </c>
      <c r="K234" s="141" t="s">
        <v>542</v>
      </c>
    </row>
    <row r="235" spans="1:11" s="114" customFormat="1" hidden="1" x14ac:dyDescent="0.35">
      <c r="A235" s="215" t="s">
        <v>599</v>
      </c>
      <c r="B235" s="215" t="s">
        <v>606</v>
      </c>
      <c r="C235" s="215" t="s">
        <v>607</v>
      </c>
      <c r="D235" s="215" t="s">
        <v>399</v>
      </c>
      <c r="E235" s="215">
        <v>22</v>
      </c>
      <c r="F235" s="215" t="s">
        <v>591</v>
      </c>
      <c r="G235" s="125"/>
      <c r="H235" s="62" t="s">
        <v>286</v>
      </c>
      <c r="I235" s="72">
        <v>120</v>
      </c>
      <c r="J235" s="72">
        <v>39.6</v>
      </c>
      <c r="K235" s="155">
        <v>39.6</v>
      </c>
    </row>
    <row r="236" spans="1:11" s="114" customFormat="1" hidden="1" x14ac:dyDescent="0.35">
      <c r="A236" s="215" t="s">
        <v>599</v>
      </c>
      <c r="B236" s="215" t="s">
        <v>606</v>
      </c>
      <c r="C236" s="215" t="s">
        <v>607</v>
      </c>
      <c r="D236" s="215" t="s">
        <v>399</v>
      </c>
      <c r="E236" s="215">
        <v>23</v>
      </c>
      <c r="F236" s="215" t="s">
        <v>591</v>
      </c>
      <c r="G236" s="125"/>
      <c r="H236" s="50" t="s">
        <v>88</v>
      </c>
      <c r="I236" s="134">
        <v>330</v>
      </c>
      <c r="J236" s="134">
        <f>I236*I238</f>
        <v>108.9</v>
      </c>
      <c r="K236" s="149">
        <f>J236</f>
        <v>108.9</v>
      </c>
    </row>
    <row r="237" spans="1:11" s="114" customFormat="1" hidden="1" x14ac:dyDescent="0.35">
      <c r="A237" s="215" t="s">
        <v>599</v>
      </c>
      <c r="B237" s="215" t="s">
        <v>606</v>
      </c>
      <c r="C237" s="215" t="s">
        <v>607</v>
      </c>
      <c r="D237" s="215" t="s">
        <v>399</v>
      </c>
      <c r="E237" s="215">
        <v>24</v>
      </c>
      <c r="F237" s="215" t="s">
        <v>591</v>
      </c>
      <c r="G237" s="125"/>
      <c r="H237" s="62" t="s">
        <v>89</v>
      </c>
      <c r="I237" s="72">
        <v>0.56000000000000005</v>
      </c>
      <c r="J237" s="72">
        <f>IF(J238="1.25m",($I237*I238)-(SUM(QuadCoreMass,CS125Mass)*I238),$I237*I238)</f>
        <v>0.18480000000000002</v>
      </c>
      <c r="K237" s="150">
        <f>J237</f>
        <v>0.18480000000000002</v>
      </c>
    </row>
    <row r="238" spans="1:11" s="114" customFormat="1" hidden="1" x14ac:dyDescent="0.35">
      <c r="A238" s="215" t="s">
        <v>599</v>
      </c>
      <c r="B238" s="215" t="s">
        <v>606</v>
      </c>
      <c r="C238" s="215" t="s">
        <v>607</v>
      </c>
      <c r="D238" s="215" t="s">
        <v>399</v>
      </c>
      <c r="E238" s="215">
        <v>25</v>
      </c>
      <c r="F238" s="215" t="s">
        <v>591</v>
      </c>
      <c r="G238" s="125"/>
      <c r="H238" s="230" t="s">
        <v>303</v>
      </c>
      <c r="I238" s="135">
        <v>0.33</v>
      </c>
      <c r="J238" s="135" t="s">
        <v>44</v>
      </c>
      <c r="K238" s="134"/>
    </row>
    <row r="239" spans="1:11" s="124" customFormat="1" ht="15.75" hidden="1" customHeight="1" thickBot="1" x14ac:dyDescent="0.4">
      <c r="A239" s="216" t="s">
        <v>599</v>
      </c>
      <c r="B239" s="216" t="s">
        <v>606</v>
      </c>
      <c r="C239" s="216" t="s">
        <v>607</v>
      </c>
      <c r="D239" s="216" t="s">
        <v>399</v>
      </c>
      <c r="E239" s="216">
        <v>26</v>
      </c>
      <c r="F239" s="216" t="s">
        <v>591</v>
      </c>
      <c r="G239" s="123"/>
    </row>
    <row r="240" spans="1:11" s="114" customFormat="1" ht="18.75" hidden="1" customHeight="1" x14ac:dyDescent="0.45">
      <c r="A240" s="215" t="s">
        <v>295</v>
      </c>
      <c r="B240" s="215" t="s">
        <v>610</v>
      </c>
      <c r="C240" s="215" t="s">
        <v>611</v>
      </c>
      <c r="D240" s="215" t="s">
        <v>399</v>
      </c>
      <c r="E240" s="215">
        <v>1</v>
      </c>
      <c r="F240" s="215" t="s">
        <v>591</v>
      </c>
      <c r="G240" s="125"/>
      <c r="H240" s="116" t="s">
        <v>612</v>
      </c>
      <c r="I240" s="116"/>
      <c r="J240" s="122"/>
      <c r="K240" s="122"/>
    </row>
    <row r="241" spans="1:11" s="114" customFormat="1" hidden="1" x14ac:dyDescent="0.35">
      <c r="A241" s="215" t="s">
        <v>295</v>
      </c>
      <c r="B241" s="215" t="s">
        <v>610</v>
      </c>
      <c r="C241" s="215" t="s">
        <v>611</v>
      </c>
      <c r="D241" s="215" t="s">
        <v>399</v>
      </c>
      <c r="E241" s="215">
        <v>2</v>
      </c>
      <c r="F241" s="215" t="s">
        <v>591</v>
      </c>
      <c r="G241" s="125"/>
      <c r="H241" s="100" t="s">
        <v>535</v>
      </c>
      <c r="I241" s="115" t="s">
        <v>308</v>
      </c>
      <c r="J241" s="115"/>
      <c r="K241" s="100"/>
    </row>
    <row r="242" spans="1:11" s="114" customFormat="1" hidden="1" x14ac:dyDescent="0.35">
      <c r="A242" s="215" t="s">
        <v>295</v>
      </c>
      <c r="B242" s="215" t="s">
        <v>610</v>
      </c>
      <c r="C242" s="215" t="s">
        <v>611</v>
      </c>
      <c r="D242" s="215" t="s">
        <v>399</v>
      </c>
      <c r="E242" s="215">
        <v>3</v>
      </c>
      <c r="F242" s="215" t="s">
        <v>591</v>
      </c>
      <c r="G242" s="125"/>
      <c r="H242" s="118" t="s">
        <v>537</v>
      </c>
      <c r="I242" s="115" t="s">
        <v>96</v>
      </c>
      <c r="J242" s="115" t="s">
        <v>539</v>
      </c>
      <c r="K242" s="100">
        <v>3800</v>
      </c>
    </row>
    <row r="243" spans="1:11" s="114" customFormat="1" hidden="1" x14ac:dyDescent="0.35">
      <c r="A243" s="215" t="s">
        <v>295</v>
      </c>
      <c r="B243" s="215" t="s">
        <v>610</v>
      </c>
      <c r="C243" s="215" t="s">
        <v>611</v>
      </c>
      <c r="D243" s="215" t="s">
        <v>399</v>
      </c>
      <c r="E243" s="215">
        <v>4</v>
      </c>
      <c r="F243" s="215" t="s">
        <v>591</v>
      </c>
      <c r="G243" s="125"/>
      <c r="H243" s="115" t="s">
        <v>90</v>
      </c>
      <c r="I243" s="115">
        <v>2900</v>
      </c>
      <c r="J243" s="115" t="s">
        <v>540</v>
      </c>
      <c r="K243" s="115">
        <v>14</v>
      </c>
    </row>
    <row r="244" spans="1:11" s="114" customFormat="1" hidden="1" x14ac:dyDescent="0.35">
      <c r="A244" s="215" t="s">
        <v>295</v>
      </c>
      <c r="B244" s="215" t="s">
        <v>610</v>
      </c>
      <c r="C244" s="215" t="s">
        <v>611</v>
      </c>
      <c r="D244" s="215" t="s">
        <v>399</v>
      </c>
      <c r="E244" s="215">
        <v>5</v>
      </c>
      <c r="F244" s="215" t="s">
        <v>591</v>
      </c>
      <c r="G244" s="125"/>
      <c r="H244" s="136" t="s">
        <v>300</v>
      </c>
      <c r="I244" s="137" t="s">
        <v>541</v>
      </c>
      <c r="J244" s="137" t="s">
        <v>302</v>
      </c>
      <c r="K244" s="138" t="s">
        <v>542</v>
      </c>
    </row>
    <row r="245" spans="1:11" s="114" customFormat="1" hidden="1" x14ac:dyDescent="0.35">
      <c r="A245" s="215" t="s">
        <v>295</v>
      </c>
      <c r="B245" s="215" t="s">
        <v>610</v>
      </c>
      <c r="C245" s="215" t="s">
        <v>611</v>
      </c>
      <c r="D245" s="215" t="s">
        <v>399</v>
      </c>
      <c r="E245" s="215">
        <v>6</v>
      </c>
      <c r="F245" s="215" t="s">
        <v>591</v>
      </c>
      <c r="G245" s="125"/>
      <c r="H245" s="50" t="s">
        <v>88</v>
      </c>
      <c r="I245" s="160">
        <f>$K$279</f>
        <v>250</v>
      </c>
      <c r="J245" s="134">
        <f>I245*I247</f>
        <v>937.5</v>
      </c>
      <c r="K245" s="149">
        <f>J245</f>
        <v>937.5</v>
      </c>
    </row>
    <row r="246" spans="1:11" s="114" customFormat="1" hidden="1" x14ac:dyDescent="0.35">
      <c r="A246" s="215" t="s">
        <v>295</v>
      </c>
      <c r="B246" s="215" t="s">
        <v>610</v>
      </c>
      <c r="C246" s="215" t="s">
        <v>611</v>
      </c>
      <c r="D246" s="215" t="s">
        <v>399</v>
      </c>
      <c r="E246" s="215">
        <v>7</v>
      </c>
      <c r="F246" s="215" t="s">
        <v>591</v>
      </c>
      <c r="G246" s="125"/>
      <c r="H246" s="62" t="s">
        <v>89</v>
      </c>
      <c r="I246" s="72">
        <f>CS125Mass</f>
        <v>0.05</v>
      </c>
      <c r="J246" s="72">
        <f>IF(J247="1.25m",($I246*I247)-(SUM(QuadCoreMass,CS125Mass)*I247),$I246*I247)</f>
        <v>0.1875</v>
      </c>
      <c r="K246" s="150">
        <f>J246</f>
        <v>0.1875</v>
      </c>
    </row>
    <row r="247" spans="1:11" s="114" customFormat="1" hidden="1" x14ac:dyDescent="0.35">
      <c r="A247" s="215" t="s">
        <v>295</v>
      </c>
      <c r="B247" s="215" t="s">
        <v>610</v>
      </c>
      <c r="C247" s="215" t="s">
        <v>611</v>
      </c>
      <c r="D247" s="215" t="s">
        <v>399</v>
      </c>
      <c r="E247" s="215">
        <v>8</v>
      </c>
      <c r="F247" s="215" t="s">
        <v>591</v>
      </c>
      <c r="G247" s="125"/>
      <c r="H247" s="230" t="s">
        <v>303</v>
      </c>
      <c r="I247" s="135">
        <v>3.75</v>
      </c>
      <c r="J247" s="135" t="s">
        <v>44</v>
      </c>
      <c r="K247" s="134"/>
    </row>
    <row r="248" spans="1:11" s="114" customFormat="1" ht="15" hidden="1" customHeight="1" x14ac:dyDescent="0.35">
      <c r="A248" s="215" t="s">
        <v>295</v>
      </c>
      <c r="B248" s="215" t="s">
        <v>610</v>
      </c>
      <c r="C248" s="215" t="s">
        <v>611</v>
      </c>
      <c r="D248" s="215" t="s">
        <v>399</v>
      </c>
      <c r="E248" s="215">
        <v>9</v>
      </c>
      <c r="F248" s="215" t="s">
        <v>591</v>
      </c>
      <c r="G248" s="125"/>
    </row>
    <row r="249" spans="1:11" s="114" customFormat="1" hidden="1" x14ac:dyDescent="0.35">
      <c r="A249" s="215" t="s">
        <v>295</v>
      </c>
      <c r="B249" s="215" t="s">
        <v>610</v>
      </c>
      <c r="C249" s="215" t="s">
        <v>611</v>
      </c>
      <c r="D249" s="215" t="s">
        <v>399</v>
      </c>
      <c r="E249" s="215">
        <v>10</v>
      </c>
      <c r="F249" s="215" t="s">
        <v>591</v>
      </c>
      <c r="G249" s="125"/>
      <c r="H249" s="114" t="s">
        <v>399</v>
      </c>
      <c r="I249" s="114" t="s">
        <v>613</v>
      </c>
    </row>
    <row r="250" spans="1:11" s="114" customFormat="1" hidden="1" x14ac:dyDescent="0.35">
      <c r="A250" s="219" t="s">
        <v>295</v>
      </c>
      <c r="B250" s="219" t="s">
        <v>610</v>
      </c>
      <c r="C250" s="219" t="s">
        <v>611</v>
      </c>
      <c r="D250" s="219" t="s">
        <v>399</v>
      </c>
      <c r="E250" s="219">
        <v>11</v>
      </c>
      <c r="F250" s="219" t="s">
        <v>591</v>
      </c>
      <c r="G250" s="125"/>
      <c r="H250" s="134" t="s">
        <v>535</v>
      </c>
      <c r="I250" s="114" t="s">
        <v>614</v>
      </c>
    </row>
    <row r="251" spans="1:11" s="114" customFormat="1" hidden="1" x14ac:dyDescent="0.35">
      <c r="A251" s="215" t="s">
        <v>295</v>
      </c>
      <c r="B251" s="215" t="s">
        <v>610</v>
      </c>
      <c r="C251" s="215" t="s">
        <v>611</v>
      </c>
      <c r="D251" s="215" t="s">
        <v>399</v>
      </c>
      <c r="E251" s="215">
        <v>12</v>
      </c>
      <c r="F251" s="215" t="s">
        <v>591</v>
      </c>
      <c r="G251" s="125"/>
      <c r="H251" s="139" t="s">
        <v>300</v>
      </c>
      <c r="I251" s="140" t="s">
        <v>541</v>
      </c>
      <c r="J251" s="140" t="s">
        <v>302</v>
      </c>
      <c r="K251" s="141" t="s">
        <v>542</v>
      </c>
    </row>
    <row r="252" spans="1:11" s="114" customFormat="1" hidden="1" x14ac:dyDescent="0.35">
      <c r="A252" s="215" t="s">
        <v>295</v>
      </c>
      <c r="B252" s="215" t="s">
        <v>610</v>
      </c>
      <c r="C252" s="215" t="s">
        <v>611</v>
      </c>
      <c r="D252" s="215" t="s">
        <v>399</v>
      </c>
      <c r="E252" s="215">
        <v>13</v>
      </c>
      <c r="F252" s="215" t="s">
        <v>591</v>
      </c>
      <c r="G252" s="125"/>
      <c r="H252" s="62" t="s">
        <v>615</v>
      </c>
      <c r="I252" s="72">
        <v>0.3</v>
      </c>
      <c r="J252" s="72">
        <f>I252*I255</f>
        <v>3.5999999999999996</v>
      </c>
      <c r="K252" s="155">
        <f>J252</f>
        <v>3.5999999999999996</v>
      </c>
    </row>
    <row r="253" spans="1:11" s="114" customFormat="1" hidden="1" x14ac:dyDescent="0.35">
      <c r="A253" s="215" t="s">
        <v>295</v>
      </c>
      <c r="B253" s="215" t="s">
        <v>610</v>
      </c>
      <c r="C253" s="215" t="s">
        <v>611</v>
      </c>
      <c r="D253" s="215" t="s">
        <v>399</v>
      </c>
      <c r="E253" s="215">
        <v>14</v>
      </c>
      <c r="F253" s="215" t="s">
        <v>591</v>
      </c>
      <c r="G253" s="125"/>
      <c r="H253" s="50" t="s">
        <v>88</v>
      </c>
      <c r="I253" s="134">
        <v>75</v>
      </c>
      <c r="J253" s="134">
        <f>I253*I255</f>
        <v>900</v>
      </c>
      <c r="K253" s="149">
        <f>J253</f>
        <v>900</v>
      </c>
    </row>
    <row r="254" spans="1:11" s="114" customFormat="1" hidden="1" x14ac:dyDescent="0.35">
      <c r="A254" s="215" t="s">
        <v>295</v>
      </c>
      <c r="B254" s="215" t="s">
        <v>610</v>
      </c>
      <c r="C254" s="215" t="s">
        <v>611</v>
      </c>
      <c r="D254" s="215" t="s">
        <v>399</v>
      </c>
      <c r="E254" s="215">
        <v>15</v>
      </c>
      <c r="F254" s="215" t="s">
        <v>591</v>
      </c>
      <c r="G254" s="125"/>
      <c r="H254" s="62" t="s">
        <v>89</v>
      </c>
      <c r="I254" s="72">
        <v>5.0000000000000001E-3</v>
      </c>
      <c r="J254" s="72">
        <f>IF(J255="1.25m",($I254*I255)-(SUM(QuadCoreMass,CS125Mass)*I255),$I254*I255)</f>
        <v>0.06</v>
      </c>
      <c r="K254" s="150">
        <f>J254</f>
        <v>0.06</v>
      </c>
    </row>
    <row r="255" spans="1:11" s="114" customFormat="1" hidden="1" x14ac:dyDescent="0.35">
      <c r="A255" s="219" t="s">
        <v>295</v>
      </c>
      <c r="B255" s="219" t="s">
        <v>610</v>
      </c>
      <c r="C255" s="219" t="s">
        <v>611</v>
      </c>
      <c r="D255" s="219" t="s">
        <v>399</v>
      </c>
      <c r="E255" s="219">
        <v>16</v>
      </c>
      <c r="F255" s="219" t="s">
        <v>591</v>
      </c>
      <c r="G255" s="125"/>
      <c r="H255" s="230" t="s">
        <v>303</v>
      </c>
      <c r="I255" s="135">
        <v>12</v>
      </c>
      <c r="J255" s="135" t="s">
        <v>44</v>
      </c>
      <c r="K255" s="134"/>
    </row>
    <row r="256" spans="1:11" s="124" customFormat="1" ht="15" hidden="1" thickBot="1" x14ac:dyDescent="0.4">
      <c r="A256" s="216" t="s">
        <v>295</v>
      </c>
      <c r="B256" s="216" t="s">
        <v>610</v>
      </c>
      <c r="C256" s="216" t="s">
        <v>611</v>
      </c>
      <c r="D256" s="216" t="s">
        <v>399</v>
      </c>
      <c r="E256" s="216">
        <v>17</v>
      </c>
      <c r="F256" s="216" t="s">
        <v>591</v>
      </c>
      <c r="G256" s="123"/>
    </row>
    <row r="257" spans="1:11" s="114" customFormat="1" ht="18.5" hidden="1" x14ac:dyDescent="0.45">
      <c r="A257" s="215" t="s">
        <v>295</v>
      </c>
      <c r="B257" s="215" t="s">
        <v>616</v>
      </c>
      <c r="C257" s="215" t="s">
        <v>617</v>
      </c>
      <c r="D257" s="215" t="s">
        <v>399</v>
      </c>
      <c r="E257" s="215">
        <v>1</v>
      </c>
      <c r="F257" s="215" t="s">
        <v>591</v>
      </c>
      <c r="G257" s="125"/>
      <c r="H257" s="116" t="s">
        <v>618</v>
      </c>
      <c r="I257" s="116"/>
      <c r="J257" s="122"/>
      <c r="K257" s="122"/>
    </row>
    <row r="258" spans="1:11" s="114" customFormat="1" hidden="1" x14ac:dyDescent="0.35">
      <c r="A258" s="215" t="s">
        <v>295</v>
      </c>
      <c r="B258" s="215" t="s">
        <v>616</v>
      </c>
      <c r="C258" s="215" t="s">
        <v>617</v>
      </c>
      <c r="D258" s="215" t="s">
        <v>399</v>
      </c>
      <c r="E258" s="215">
        <v>2</v>
      </c>
      <c r="F258" s="215" t="s">
        <v>591</v>
      </c>
      <c r="G258" s="125"/>
      <c r="H258" s="115" t="s">
        <v>535</v>
      </c>
      <c r="I258" s="115" t="s">
        <v>308</v>
      </c>
      <c r="J258" s="115"/>
      <c r="K258" s="115"/>
    </row>
    <row r="259" spans="1:11" s="114" customFormat="1" hidden="1" x14ac:dyDescent="0.35">
      <c r="A259" s="215" t="s">
        <v>295</v>
      </c>
      <c r="B259" s="215" t="s">
        <v>616</v>
      </c>
      <c r="C259" s="215" t="s">
        <v>617</v>
      </c>
      <c r="D259" s="215" t="s">
        <v>399</v>
      </c>
      <c r="E259" s="215">
        <v>3</v>
      </c>
      <c r="F259" s="215" t="s">
        <v>591</v>
      </c>
      <c r="G259" s="125"/>
      <c r="H259" s="118" t="s">
        <v>537</v>
      </c>
      <c r="I259" s="115" t="s">
        <v>96</v>
      </c>
      <c r="J259" s="115" t="s">
        <v>539</v>
      </c>
      <c r="K259" s="115">
        <v>4000</v>
      </c>
    </row>
    <row r="260" spans="1:11" s="114" customFormat="1" hidden="1" x14ac:dyDescent="0.35">
      <c r="A260" s="219" t="s">
        <v>295</v>
      </c>
      <c r="B260" s="219" t="s">
        <v>616</v>
      </c>
      <c r="C260" s="219" t="s">
        <v>617</v>
      </c>
      <c r="D260" s="219" t="s">
        <v>399</v>
      </c>
      <c r="E260" s="219">
        <v>4</v>
      </c>
      <c r="F260" s="219" t="s">
        <v>591</v>
      </c>
      <c r="G260" s="125"/>
      <c r="H260" s="115" t="s">
        <v>90</v>
      </c>
      <c r="I260" s="115">
        <v>2900</v>
      </c>
      <c r="J260" s="115" t="s">
        <v>540</v>
      </c>
      <c r="K260" s="115">
        <v>14</v>
      </c>
    </row>
    <row r="261" spans="1:11" s="114" customFormat="1" hidden="1" x14ac:dyDescent="0.35">
      <c r="A261" s="215" t="s">
        <v>295</v>
      </c>
      <c r="B261" s="215" t="s">
        <v>616</v>
      </c>
      <c r="C261" s="215" t="s">
        <v>617</v>
      </c>
      <c r="D261" s="215" t="s">
        <v>399</v>
      </c>
      <c r="E261" s="215">
        <v>5</v>
      </c>
      <c r="F261" s="215" t="s">
        <v>591</v>
      </c>
      <c r="G261" s="125"/>
      <c r="H261" s="136" t="s">
        <v>300</v>
      </c>
      <c r="I261" s="137" t="s">
        <v>541</v>
      </c>
      <c r="J261" s="137" t="s">
        <v>302</v>
      </c>
      <c r="K261" s="138" t="s">
        <v>542</v>
      </c>
    </row>
    <row r="262" spans="1:11" s="114" customFormat="1" hidden="1" x14ac:dyDescent="0.35">
      <c r="A262" s="215" t="s">
        <v>295</v>
      </c>
      <c r="B262" s="215" t="s">
        <v>616</v>
      </c>
      <c r="C262" s="215" t="s">
        <v>617</v>
      </c>
      <c r="D262" s="215" t="s">
        <v>399</v>
      </c>
      <c r="E262" s="215">
        <v>6</v>
      </c>
      <c r="F262" s="215" t="s">
        <v>591</v>
      </c>
      <c r="G262" s="125"/>
      <c r="H262" s="50" t="s">
        <v>88</v>
      </c>
      <c r="I262" s="160">
        <f>$K$279</f>
        <v>250</v>
      </c>
      <c r="J262" s="134">
        <f>I262*I264</f>
        <v>1500</v>
      </c>
      <c r="K262" s="149">
        <f>J262</f>
        <v>1500</v>
      </c>
    </row>
    <row r="263" spans="1:11" s="114" customFormat="1" hidden="1" x14ac:dyDescent="0.35">
      <c r="A263" s="215" t="s">
        <v>295</v>
      </c>
      <c r="B263" s="215" t="s">
        <v>616</v>
      </c>
      <c r="C263" s="215" t="s">
        <v>617</v>
      </c>
      <c r="D263" s="215" t="s">
        <v>399</v>
      </c>
      <c r="E263" s="215">
        <v>7</v>
      </c>
      <c r="F263" s="215" t="s">
        <v>591</v>
      </c>
      <c r="G263" s="125"/>
      <c r="H263" s="62" t="s">
        <v>89</v>
      </c>
      <c r="I263" s="72">
        <f>CS125Mass</f>
        <v>0.05</v>
      </c>
      <c r="J263" s="72">
        <f>IF(J264="1.25m",($I263*I264)-(SUM(QuadCoreMass,CS125Mass)*I264),$I263*I264)</f>
        <v>0.30000000000000004</v>
      </c>
      <c r="K263" s="150">
        <f>J263</f>
        <v>0.30000000000000004</v>
      </c>
    </row>
    <row r="264" spans="1:11" s="114" customFormat="1" hidden="1" x14ac:dyDescent="0.35">
      <c r="A264" s="215" t="s">
        <v>295</v>
      </c>
      <c r="B264" s="215" t="s">
        <v>616</v>
      </c>
      <c r="C264" s="215" t="s">
        <v>617</v>
      </c>
      <c r="D264" s="215" t="s">
        <v>399</v>
      </c>
      <c r="E264" s="215">
        <v>8</v>
      </c>
      <c r="F264" s="215" t="s">
        <v>591</v>
      </c>
      <c r="G264" s="125"/>
      <c r="H264" s="230" t="s">
        <v>303</v>
      </c>
      <c r="I264" s="135">
        <v>6</v>
      </c>
      <c r="J264" s="135" t="s">
        <v>44</v>
      </c>
      <c r="K264" s="134"/>
    </row>
    <row r="265" spans="1:11" s="114" customFormat="1" ht="15" hidden="1" customHeight="1" x14ac:dyDescent="0.35">
      <c r="A265" s="215" t="s">
        <v>295</v>
      </c>
      <c r="B265" s="215" t="s">
        <v>616</v>
      </c>
      <c r="C265" s="215" t="s">
        <v>617</v>
      </c>
      <c r="D265" s="215" t="s">
        <v>399</v>
      </c>
      <c r="E265" s="215">
        <v>9</v>
      </c>
      <c r="F265" s="215" t="s">
        <v>591</v>
      </c>
      <c r="G265" s="125"/>
    </row>
    <row r="266" spans="1:11" s="114" customFormat="1" hidden="1" x14ac:dyDescent="0.35">
      <c r="A266" s="215" t="s">
        <v>295</v>
      </c>
      <c r="B266" s="215" t="s">
        <v>616</v>
      </c>
      <c r="C266" s="215" t="s">
        <v>617</v>
      </c>
      <c r="D266" s="215" t="s">
        <v>399</v>
      </c>
      <c r="E266" s="215">
        <v>10</v>
      </c>
      <c r="F266" s="215" t="s">
        <v>591</v>
      </c>
      <c r="G266" s="125"/>
      <c r="H266" s="114" t="s">
        <v>399</v>
      </c>
      <c r="I266" s="114" t="s">
        <v>613</v>
      </c>
    </row>
    <row r="267" spans="1:11" s="114" customFormat="1" hidden="1" x14ac:dyDescent="0.35">
      <c r="A267" s="215" t="s">
        <v>295</v>
      </c>
      <c r="B267" s="215" t="s">
        <v>616</v>
      </c>
      <c r="C267" s="215" t="s">
        <v>617</v>
      </c>
      <c r="D267" s="215" t="s">
        <v>399</v>
      </c>
      <c r="E267" s="215">
        <v>11</v>
      </c>
      <c r="F267" s="215" t="s">
        <v>591</v>
      </c>
      <c r="G267" s="125"/>
      <c r="H267" s="134" t="s">
        <v>535</v>
      </c>
      <c r="I267" s="114" t="s">
        <v>614</v>
      </c>
    </row>
    <row r="268" spans="1:11" s="114" customFormat="1" hidden="1" x14ac:dyDescent="0.35">
      <c r="A268" s="215" t="s">
        <v>295</v>
      </c>
      <c r="B268" s="215" t="s">
        <v>616</v>
      </c>
      <c r="C268" s="215" t="s">
        <v>617</v>
      </c>
      <c r="D268" s="215" t="s">
        <v>399</v>
      </c>
      <c r="E268" s="215">
        <v>12</v>
      </c>
      <c r="F268" s="215" t="s">
        <v>591</v>
      </c>
      <c r="G268" s="125"/>
      <c r="H268" s="139" t="s">
        <v>300</v>
      </c>
      <c r="I268" s="140" t="s">
        <v>541</v>
      </c>
      <c r="J268" s="140" t="s">
        <v>302</v>
      </c>
      <c r="K268" s="141" t="s">
        <v>542</v>
      </c>
    </row>
    <row r="269" spans="1:11" s="114" customFormat="1" hidden="1" x14ac:dyDescent="0.35">
      <c r="A269" s="215" t="s">
        <v>295</v>
      </c>
      <c r="B269" s="215" t="s">
        <v>616</v>
      </c>
      <c r="C269" s="215" t="s">
        <v>617</v>
      </c>
      <c r="D269" s="215" t="s">
        <v>399</v>
      </c>
      <c r="E269" s="215">
        <v>13</v>
      </c>
      <c r="F269" s="215" t="s">
        <v>591</v>
      </c>
      <c r="G269" s="125"/>
      <c r="H269" s="62" t="s">
        <v>615</v>
      </c>
      <c r="I269" s="72">
        <v>0.3</v>
      </c>
      <c r="J269" s="72">
        <f>I269*I272</f>
        <v>7.1999999999999993</v>
      </c>
      <c r="K269" s="155">
        <f>J269</f>
        <v>7.1999999999999993</v>
      </c>
    </row>
    <row r="270" spans="1:11" s="114" customFormat="1" hidden="1" x14ac:dyDescent="0.35">
      <c r="A270" s="219" t="s">
        <v>295</v>
      </c>
      <c r="B270" s="219" t="s">
        <v>616</v>
      </c>
      <c r="C270" s="219" t="s">
        <v>617</v>
      </c>
      <c r="D270" s="219" t="s">
        <v>399</v>
      </c>
      <c r="E270" s="219">
        <v>14</v>
      </c>
      <c r="F270" s="219" t="s">
        <v>591</v>
      </c>
      <c r="G270" s="125"/>
      <c r="H270" s="50" t="s">
        <v>88</v>
      </c>
      <c r="I270" s="134">
        <v>75</v>
      </c>
      <c r="J270" s="134">
        <f>I270*I272</f>
        <v>1800</v>
      </c>
      <c r="K270" s="149">
        <f>J270</f>
        <v>1800</v>
      </c>
    </row>
    <row r="271" spans="1:11" s="114" customFormat="1" hidden="1" x14ac:dyDescent="0.35">
      <c r="A271" s="215" t="s">
        <v>295</v>
      </c>
      <c r="B271" s="215" t="s">
        <v>616</v>
      </c>
      <c r="C271" s="215" t="s">
        <v>617</v>
      </c>
      <c r="D271" s="215" t="s">
        <v>399</v>
      </c>
      <c r="E271" s="215">
        <v>15</v>
      </c>
      <c r="F271" s="215" t="s">
        <v>591</v>
      </c>
      <c r="G271" s="125"/>
      <c r="H271" s="62" t="s">
        <v>89</v>
      </c>
      <c r="I271" s="72">
        <v>5.0000000000000001E-3</v>
      </c>
      <c r="J271" s="72">
        <f>IF(J272="1.25m",($I271*I272)-(SUM(QuadCoreMass,CS125Mass)*I272),$I271*I272)</f>
        <v>0.12</v>
      </c>
      <c r="K271" s="150">
        <f>J271</f>
        <v>0.12</v>
      </c>
    </row>
    <row r="272" spans="1:11" s="114" customFormat="1" hidden="1" x14ac:dyDescent="0.35">
      <c r="A272" s="215" t="s">
        <v>295</v>
      </c>
      <c r="B272" s="215" t="s">
        <v>616</v>
      </c>
      <c r="C272" s="215" t="s">
        <v>617</v>
      </c>
      <c r="D272" s="215" t="s">
        <v>399</v>
      </c>
      <c r="E272" s="215">
        <v>16</v>
      </c>
      <c r="F272" s="215" t="s">
        <v>591</v>
      </c>
      <c r="G272" s="125"/>
      <c r="H272" s="33" t="s">
        <v>303</v>
      </c>
      <c r="I272" s="135">
        <v>24</v>
      </c>
      <c r="J272" s="135" t="s">
        <v>44</v>
      </c>
      <c r="K272"/>
    </row>
    <row r="273" spans="1:12" s="124" customFormat="1" ht="15.75" hidden="1" customHeight="1" thickBot="1" x14ac:dyDescent="0.4">
      <c r="A273" s="216" t="s">
        <v>295</v>
      </c>
      <c r="B273" s="216" t="s">
        <v>616</v>
      </c>
      <c r="C273" s="216" t="s">
        <v>617</v>
      </c>
      <c r="D273" s="216" t="s">
        <v>399</v>
      </c>
      <c r="E273" s="216">
        <v>17</v>
      </c>
      <c r="F273" s="216" t="s">
        <v>591</v>
      </c>
      <c r="G273" s="123"/>
    </row>
    <row r="274" spans="1:12" s="16" customFormat="1" ht="18.5" hidden="1" x14ac:dyDescent="0.45">
      <c r="A274" s="215" t="s">
        <v>295</v>
      </c>
      <c r="B274" s="215" t="s">
        <v>619</v>
      </c>
      <c r="C274" s="215" t="s">
        <v>620</v>
      </c>
      <c r="D274" s="215" t="s">
        <v>399</v>
      </c>
      <c r="E274" s="215">
        <v>18</v>
      </c>
      <c r="F274" s="215" t="s">
        <v>591</v>
      </c>
      <c r="H274" s="116" t="s">
        <v>308</v>
      </c>
      <c r="I274" s="116"/>
      <c r="J274" s="122"/>
      <c r="K274" s="122"/>
    </row>
    <row r="275" spans="1:12" hidden="1" x14ac:dyDescent="0.35">
      <c r="A275" s="215" t="s">
        <v>295</v>
      </c>
      <c r="B275" s="215" t="s">
        <v>619</v>
      </c>
      <c r="C275" s="215" t="s">
        <v>621</v>
      </c>
      <c r="D275" s="215" t="s">
        <v>399</v>
      </c>
      <c r="E275" s="215">
        <v>19</v>
      </c>
      <c r="F275" s="215" t="s">
        <v>591</v>
      </c>
      <c r="H275" s="115" t="s">
        <v>535</v>
      </c>
      <c r="I275" s="115" t="s">
        <v>622</v>
      </c>
      <c r="J275" s="115"/>
      <c r="K275" s="115"/>
    </row>
    <row r="276" spans="1:12" hidden="1" x14ac:dyDescent="0.35">
      <c r="A276" s="215" t="s">
        <v>295</v>
      </c>
      <c r="B276" s="215" t="s">
        <v>619</v>
      </c>
      <c r="C276" s="215" t="s">
        <v>623</v>
      </c>
      <c r="D276" s="215" t="s">
        <v>399</v>
      </c>
      <c r="E276" s="215">
        <v>20</v>
      </c>
      <c r="F276" s="215" t="s">
        <v>591</v>
      </c>
      <c r="H276" s="118" t="s">
        <v>537</v>
      </c>
      <c r="I276" s="100" t="s">
        <v>547</v>
      </c>
      <c r="J276" s="115" t="s">
        <v>539</v>
      </c>
      <c r="K276" s="115">
        <v>2600</v>
      </c>
    </row>
    <row r="277" spans="1:12" hidden="1" x14ac:dyDescent="0.35">
      <c r="A277" s="215" t="s">
        <v>295</v>
      </c>
      <c r="B277" s="215" t="s">
        <v>619</v>
      </c>
      <c r="C277" s="215" t="s">
        <v>624</v>
      </c>
      <c r="D277" s="215" t="s">
        <v>399</v>
      </c>
      <c r="E277" s="215">
        <v>21</v>
      </c>
      <c r="F277" s="215" t="s">
        <v>591</v>
      </c>
      <c r="H277" s="115" t="s">
        <v>90</v>
      </c>
      <c r="I277" s="115">
        <v>2900</v>
      </c>
      <c r="J277" s="115" t="s">
        <v>540</v>
      </c>
      <c r="K277" s="115">
        <v>14</v>
      </c>
    </row>
    <row r="278" spans="1:12" hidden="1" x14ac:dyDescent="0.35">
      <c r="A278" s="215" t="s">
        <v>295</v>
      </c>
      <c r="B278" s="215" t="s">
        <v>619</v>
      </c>
      <c r="C278" s="215" t="s">
        <v>625</v>
      </c>
      <c r="D278" s="215" t="s">
        <v>399</v>
      </c>
      <c r="E278" s="215">
        <v>22</v>
      </c>
      <c r="F278" s="215" t="s">
        <v>591</v>
      </c>
      <c r="H278" s="136" t="s">
        <v>300</v>
      </c>
      <c r="I278" s="137" t="s">
        <v>541</v>
      </c>
      <c r="J278" s="137" t="s">
        <v>302</v>
      </c>
      <c r="K278" s="138" t="s">
        <v>542</v>
      </c>
    </row>
    <row r="279" spans="1:12" hidden="1" x14ac:dyDescent="0.35">
      <c r="A279" s="219" t="s">
        <v>295</v>
      </c>
      <c r="B279" s="219" t="s">
        <v>619</v>
      </c>
      <c r="C279" s="219" t="s">
        <v>626</v>
      </c>
      <c r="D279" s="219" t="s">
        <v>399</v>
      </c>
      <c r="E279" s="219">
        <v>23</v>
      </c>
      <c r="F279" s="219" t="s">
        <v>591</v>
      </c>
      <c r="G279" s="114"/>
      <c r="H279" s="50" t="s">
        <v>88</v>
      </c>
      <c r="I279" s="134">
        <v>500</v>
      </c>
      <c r="J279" s="134">
        <f>I279*I281</f>
        <v>250</v>
      </c>
      <c r="K279" s="149">
        <f>J279</f>
        <v>250</v>
      </c>
      <c r="L279" s="114"/>
    </row>
    <row r="280" spans="1:12" hidden="1" x14ac:dyDescent="0.35">
      <c r="A280" s="215" t="s">
        <v>295</v>
      </c>
      <c r="B280" s="215" t="s">
        <v>619</v>
      </c>
      <c r="C280" s="215" t="s">
        <v>627</v>
      </c>
      <c r="D280" s="215" t="s">
        <v>399</v>
      </c>
      <c r="E280" s="215">
        <v>24</v>
      </c>
      <c r="F280" s="215" t="s">
        <v>591</v>
      </c>
      <c r="H280" s="62" t="s">
        <v>89</v>
      </c>
      <c r="I280" s="72">
        <v>0.1</v>
      </c>
      <c r="J280" s="72">
        <f>IF(J281="1.25m",($I280*I281)-(SUM(QuadCoreMass,CS125Mass)*I281),$I280*I281)</f>
        <v>0.05</v>
      </c>
      <c r="K280" s="150">
        <f>J280</f>
        <v>0.05</v>
      </c>
    </row>
    <row r="281" spans="1:12" ht="15" hidden="1" customHeight="1" x14ac:dyDescent="0.35">
      <c r="A281" s="215" t="s">
        <v>295</v>
      </c>
      <c r="B281" s="215" t="s">
        <v>619</v>
      </c>
      <c r="C281" s="215" t="s">
        <v>628</v>
      </c>
      <c r="D281" s="215" t="s">
        <v>399</v>
      </c>
      <c r="E281" s="215">
        <v>25</v>
      </c>
      <c r="F281" s="215" t="s">
        <v>591</v>
      </c>
      <c r="H281" s="33" t="s">
        <v>303</v>
      </c>
      <c r="I281" s="135">
        <v>0.5</v>
      </c>
      <c r="J281" s="135" t="s">
        <v>44</v>
      </c>
      <c r="K281"/>
    </row>
    <row r="282" spans="1:12" s="124" customFormat="1" ht="15" hidden="1" thickBot="1" x14ac:dyDescent="0.4">
      <c r="A282" s="216" t="s">
        <v>295</v>
      </c>
      <c r="B282" s="216" t="s">
        <v>619</v>
      </c>
      <c r="C282" s="216" t="s">
        <v>629</v>
      </c>
      <c r="D282" s="216" t="s">
        <v>399</v>
      </c>
      <c r="E282" s="216">
        <v>26</v>
      </c>
      <c r="F282" s="216" t="s">
        <v>591</v>
      </c>
    </row>
    <row r="283" spans="1:12" ht="18.75" hidden="1" customHeight="1" x14ac:dyDescent="0.45">
      <c r="A283" s="215" t="s">
        <v>295</v>
      </c>
      <c r="B283" s="215" t="s">
        <v>630</v>
      </c>
      <c r="C283" s="215" t="s">
        <v>631</v>
      </c>
      <c r="D283" s="215" t="s">
        <v>399</v>
      </c>
      <c r="E283" s="215">
        <v>1</v>
      </c>
      <c r="F283" s="215" t="s">
        <v>591</v>
      </c>
      <c r="H283" s="116" t="s">
        <v>632</v>
      </c>
      <c r="I283" s="116"/>
      <c r="J283" s="122"/>
      <c r="K283" s="122"/>
      <c r="L283" s="16"/>
    </row>
    <row r="284" spans="1:12" hidden="1" x14ac:dyDescent="0.35">
      <c r="A284" s="215" t="s">
        <v>295</v>
      </c>
      <c r="B284" s="215" t="s">
        <v>630</v>
      </c>
      <c r="C284" s="215" t="s">
        <v>631</v>
      </c>
      <c r="D284" s="215" t="s">
        <v>399</v>
      </c>
      <c r="E284" s="215">
        <v>2</v>
      </c>
      <c r="F284" s="215" t="s">
        <v>591</v>
      </c>
      <c r="H284" s="115" t="s">
        <v>535</v>
      </c>
      <c r="I284" s="100" t="s">
        <v>308</v>
      </c>
      <c r="J284" s="100"/>
      <c r="K284" s="115"/>
    </row>
    <row r="285" spans="1:12" hidden="1" x14ac:dyDescent="0.35">
      <c r="A285" s="215" t="s">
        <v>295</v>
      </c>
      <c r="B285" s="215" t="s">
        <v>630</v>
      </c>
      <c r="C285" s="215" t="s">
        <v>631</v>
      </c>
      <c r="D285" s="215" t="s">
        <v>399</v>
      </c>
      <c r="E285" s="215">
        <v>3</v>
      </c>
      <c r="F285" s="215" t="s">
        <v>591</v>
      </c>
      <c r="H285" s="118" t="s">
        <v>537</v>
      </c>
      <c r="I285" s="115" t="s">
        <v>96</v>
      </c>
      <c r="J285" s="115" t="s">
        <v>539</v>
      </c>
      <c r="K285" s="115">
        <v>3600</v>
      </c>
    </row>
    <row r="286" spans="1:12" hidden="1" x14ac:dyDescent="0.35">
      <c r="A286" s="215" t="s">
        <v>295</v>
      </c>
      <c r="B286" s="215" t="s">
        <v>630</v>
      </c>
      <c r="C286" s="215" t="s">
        <v>631</v>
      </c>
      <c r="D286" s="215" t="s">
        <v>399</v>
      </c>
      <c r="E286" s="215">
        <v>4</v>
      </c>
      <c r="F286" s="215" t="s">
        <v>591</v>
      </c>
      <c r="H286" s="115" t="s">
        <v>90</v>
      </c>
      <c r="I286" s="115">
        <v>2900</v>
      </c>
      <c r="J286" s="115" t="s">
        <v>540</v>
      </c>
      <c r="K286" s="115">
        <v>14</v>
      </c>
    </row>
    <row r="287" spans="1:12" hidden="1" x14ac:dyDescent="0.35">
      <c r="A287" s="215" t="s">
        <v>295</v>
      </c>
      <c r="B287" s="215" t="s">
        <v>630</v>
      </c>
      <c r="C287" s="215" t="s">
        <v>631</v>
      </c>
      <c r="D287" s="215" t="s">
        <v>399</v>
      </c>
      <c r="E287" s="215">
        <v>5</v>
      </c>
      <c r="F287" s="215" t="s">
        <v>591</v>
      </c>
      <c r="H287" s="136" t="s">
        <v>300</v>
      </c>
      <c r="I287" s="137" t="s">
        <v>541</v>
      </c>
      <c r="J287" s="137" t="s">
        <v>302</v>
      </c>
      <c r="K287" s="138" t="s">
        <v>542</v>
      </c>
    </row>
    <row r="288" spans="1:12" hidden="1" x14ac:dyDescent="0.35">
      <c r="A288" s="215" t="s">
        <v>295</v>
      </c>
      <c r="B288" s="215" t="s">
        <v>630</v>
      </c>
      <c r="C288" s="215" t="s">
        <v>631</v>
      </c>
      <c r="D288" s="215" t="s">
        <v>399</v>
      </c>
      <c r="E288" s="215">
        <v>6</v>
      </c>
      <c r="F288" s="215" t="s">
        <v>591</v>
      </c>
      <c r="H288" s="50" t="s">
        <v>88</v>
      </c>
      <c r="I288" s="160">
        <f>$K$279</f>
        <v>250</v>
      </c>
      <c r="J288" s="134">
        <f>I288*I290</f>
        <v>500</v>
      </c>
      <c r="K288" s="149">
        <f>J288</f>
        <v>500</v>
      </c>
    </row>
    <row r="289" spans="1:11" ht="15" hidden="1" customHeight="1" x14ac:dyDescent="0.35">
      <c r="A289" s="219" t="s">
        <v>295</v>
      </c>
      <c r="B289" s="219" t="s">
        <v>630</v>
      </c>
      <c r="C289" s="219" t="s">
        <v>631</v>
      </c>
      <c r="D289" s="219" t="s">
        <v>399</v>
      </c>
      <c r="E289" s="219">
        <v>7</v>
      </c>
      <c r="F289" s="219" t="s">
        <v>591</v>
      </c>
      <c r="G289" s="114"/>
      <c r="H289" s="62" t="s">
        <v>89</v>
      </c>
      <c r="I289" s="72">
        <f>CS125Mass</f>
        <v>0.05</v>
      </c>
      <c r="J289" s="72">
        <f>IF(J290="1.25m",($I289*I290)-(SUM(QuadCoreMass,CS125Mass)*I290),$I289*I290)</f>
        <v>0.1</v>
      </c>
      <c r="K289" s="150">
        <f>J289</f>
        <v>0.1</v>
      </c>
    </row>
    <row r="290" spans="1:11" hidden="1" x14ac:dyDescent="0.35">
      <c r="A290" s="215" t="s">
        <v>295</v>
      </c>
      <c r="B290" s="215" t="s">
        <v>630</v>
      </c>
      <c r="C290" s="215" t="s">
        <v>631</v>
      </c>
      <c r="D290" s="215" t="s">
        <v>399</v>
      </c>
      <c r="E290" s="215">
        <v>8</v>
      </c>
      <c r="F290" s="215" t="s">
        <v>591</v>
      </c>
      <c r="H290" s="33" t="s">
        <v>303</v>
      </c>
      <c r="I290" s="161">
        <v>2</v>
      </c>
      <c r="J290" s="161" t="s">
        <v>44</v>
      </c>
      <c r="K290"/>
    </row>
    <row r="291" spans="1:11" s="114" customFormat="1" hidden="1" x14ac:dyDescent="0.35">
      <c r="A291" s="215" t="s">
        <v>295</v>
      </c>
      <c r="B291" s="215" t="s">
        <v>630</v>
      </c>
      <c r="C291" s="215" t="s">
        <v>631</v>
      </c>
      <c r="D291" s="215" t="s">
        <v>399</v>
      </c>
      <c r="E291" s="215">
        <v>9</v>
      </c>
      <c r="F291" s="215" t="s">
        <v>591</v>
      </c>
    </row>
    <row r="292" spans="1:11" s="114" customFormat="1" hidden="1" x14ac:dyDescent="0.35">
      <c r="A292" s="215" t="s">
        <v>295</v>
      </c>
      <c r="B292" s="215" t="s">
        <v>630</v>
      </c>
      <c r="C292" s="215" t="s">
        <v>631</v>
      </c>
      <c r="D292" s="215" t="s">
        <v>399</v>
      </c>
      <c r="E292" s="215">
        <v>10</v>
      </c>
      <c r="F292" s="215" t="s">
        <v>591</v>
      </c>
      <c r="H292" s="204" t="s">
        <v>399</v>
      </c>
      <c r="I292" s="114" t="s">
        <v>613</v>
      </c>
      <c r="K292" s="204"/>
    </row>
    <row r="293" spans="1:11" s="114" customFormat="1" hidden="1" x14ac:dyDescent="0.35">
      <c r="A293" s="215" t="s">
        <v>295</v>
      </c>
      <c r="B293" s="215" t="s">
        <v>630</v>
      </c>
      <c r="C293" s="215" t="s">
        <v>631</v>
      </c>
      <c r="D293" s="215" t="s">
        <v>399</v>
      </c>
      <c r="E293" s="215">
        <v>11</v>
      </c>
      <c r="F293" s="215" t="s">
        <v>591</v>
      </c>
      <c r="H293" t="s">
        <v>535</v>
      </c>
      <c r="I293" s="114" t="s">
        <v>614</v>
      </c>
      <c r="K293" s="204"/>
    </row>
    <row r="294" spans="1:11" s="114" customFormat="1" hidden="1" x14ac:dyDescent="0.35">
      <c r="A294" s="215" t="s">
        <v>295</v>
      </c>
      <c r="B294" s="215" t="s">
        <v>630</v>
      </c>
      <c r="C294" s="215" t="s">
        <v>631</v>
      </c>
      <c r="D294" s="215" t="s">
        <v>399</v>
      </c>
      <c r="E294" s="215">
        <v>12</v>
      </c>
      <c r="F294" s="215" t="s">
        <v>591</v>
      </c>
      <c r="H294" s="139" t="s">
        <v>300</v>
      </c>
      <c r="I294" s="140" t="s">
        <v>541</v>
      </c>
      <c r="J294" s="140" t="s">
        <v>302</v>
      </c>
      <c r="K294" s="141" t="s">
        <v>542</v>
      </c>
    </row>
    <row r="295" spans="1:11" s="114" customFormat="1" hidden="1" x14ac:dyDescent="0.35">
      <c r="A295" s="215" t="s">
        <v>295</v>
      </c>
      <c r="B295" s="215" t="s">
        <v>630</v>
      </c>
      <c r="C295" s="215" t="s">
        <v>631</v>
      </c>
      <c r="D295" s="215" t="s">
        <v>399</v>
      </c>
      <c r="E295" s="215">
        <v>13</v>
      </c>
      <c r="F295" s="215" t="s">
        <v>591</v>
      </c>
      <c r="H295" s="62" t="s">
        <v>615</v>
      </c>
      <c r="I295" s="72">
        <v>0.3</v>
      </c>
      <c r="J295" s="72">
        <f>I295*I298</f>
        <v>0.75</v>
      </c>
      <c r="K295" s="155">
        <f>J295</f>
        <v>0.75</v>
      </c>
    </row>
    <row r="296" spans="1:11" s="114" customFormat="1" hidden="1" x14ac:dyDescent="0.35">
      <c r="A296" s="215" t="s">
        <v>295</v>
      </c>
      <c r="B296" s="215" t="s">
        <v>630</v>
      </c>
      <c r="C296" s="215" t="s">
        <v>631</v>
      </c>
      <c r="D296" s="215" t="s">
        <v>399</v>
      </c>
      <c r="E296" s="215">
        <v>14</v>
      </c>
      <c r="F296" s="215" t="s">
        <v>591</v>
      </c>
      <c r="H296" s="50" t="s">
        <v>88</v>
      </c>
      <c r="I296" s="134">
        <v>75</v>
      </c>
      <c r="J296" s="134">
        <f>I296*I298</f>
        <v>187.5</v>
      </c>
      <c r="K296" s="149">
        <f>J296</f>
        <v>187.5</v>
      </c>
    </row>
    <row r="297" spans="1:11" s="114" customFormat="1" ht="15" hidden="1" customHeight="1" x14ac:dyDescent="0.35">
      <c r="A297" s="215" t="s">
        <v>295</v>
      </c>
      <c r="B297" s="215" t="s">
        <v>630</v>
      </c>
      <c r="C297" s="215" t="s">
        <v>631</v>
      </c>
      <c r="D297" s="215" t="s">
        <v>399</v>
      </c>
      <c r="E297" s="215">
        <v>15</v>
      </c>
      <c r="F297" s="215" t="s">
        <v>591</v>
      </c>
      <c r="H297" s="62" t="s">
        <v>89</v>
      </c>
      <c r="I297" s="72">
        <v>5.0000000000000001E-3</v>
      </c>
      <c r="J297" s="72">
        <f>IF(J298="1.25m",($I297*I298)-(SUM(QuadCoreMass,CS125Mass)*I298),$I297*I298)</f>
        <v>1.2500000000000001E-2</v>
      </c>
      <c r="K297" s="150">
        <f>J297</f>
        <v>1.2500000000000001E-2</v>
      </c>
    </row>
    <row r="298" spans="1:11" s="114" customFormat="1" ht="15" hidden="1" customHeight="1" x14ac:dyDescent="0.35">
      <c r="A298" s="215" t="s">
        <v>295</v>
      </c>
      <c r="B298" s="215" t="s">
        <v>630</v>
      </c>
      <c r="C298" s="215" t="s">
        <v>631</v>
      </c>
      <c r="D298" s="215" t="s">
        <v>399</v>
      </c>
      <c r="E298" s="215">
        <v>16</v>
      </c>
      <c r="F298" s="215" t="s">
        <v>591</v>
      </c>
      <c r="H298" s="33" t="s">
        <v>303</v>
      </c>
      <c r="I298" s="135">
        <v>2.5</v>
      </c>
      <c r="J298" s="135" t="s">
        <v>44</v>
      </c>
      <c r="K298"/>
    </row>
    <row r="299" spans="1:11" s="124" customFormat="1" ht="15.75" hidden="1" customHeight="1" thickBot="1" x14ac:dyDescent="0.4">
      <c r="A299" s="216" t="s">
        <v>295</v>
      </c>
      <c r="B299" s="216" t="s">
        <v>630</v>
      </c>
      <c r="C299" s="216" t="s">
        <v>631</v>
      </c>
      <c r="D299" s="216" t="s">
        <v>399</v>
      </c>
      <c r="E299" s="216">
        <v>17</v>
      </c>
      <c r="F299" s="216" t="s">
        <v>591</v>
      </c>
      <c r="H299" s="162"/>
      <c r="I299" s="163"/>
      <c r="J299" s="163"/>
    </row>
    <row r="300" spans="1:11" ht="18.75" hidden="1" customHeight="1" x14ac:dyDescent="0.45">
      <c r="A300" s="215" t="s">
        <v>295</v>
      </c>
      <c r="B300" s="215" t="s">
        <v>633</v>
      </c>
      <c r="C300" s="215" t="s">
        <v>634</v>
      </c>
      <c r="D300" s="215" t="s">
        <v>399</v>
      </c>
      <c r="E300" s="215">
        <v>1</v>
      </c>
      <c r="F300" s="215" t="s">
        <v>591</v>
      </c>
      <c r="H300" s="116" t="s">
        <v>635</v>
      </c>
      <c r="I300" s="116"/>
      <c r="J300" s="122"/>
      <c r="K300" s="122"/>
    </row>
    <row r="301" spans="1:11" ht="15" hidden="1" customHeight="1" x14ac:dyDescent="0.35">
      <c r="A301" s="215" t="s">
        <v>295</v>
      </c>
      <c r="B301" s="215" t="s">
        <v>633</v>
      </c>
      <c r="C301" s="215" t="s">
        <v>634</v>
      </c>
      <c r="D301" s="215" t="s">
        <v>399</v>
      </c>
      <c r="E301" s="215">
        <v>2</v>
      </c>
      <c r="F301" s="215" t="s">
        <v>591</v>
      </c>
      <c r="H301" s="115" t="s">
        <v>535</v>
      </c>
      <c r="I301" s="115" t="s">
        <v>593</v>
      </c>
      <c r="J301" s="115"/>
      <c r="K301" s="115"/>
    </row>
    <row r="302" spans="1:11" ht="15" hidden="1" customHeight="1" x14ac:dyDescent="0.35">
      <c r="A302" s="215" t="s">
        <v>295</v>
      </c>
      <c r="B302" s="215" t="s">
        <v>633</v>
      </c>
      <c r="C302" s="215" t="s">
        <v>634</v>
      </c>
      <c r="D302" s="215" t="s">
        <v>399</v>
      </c>
      <c r="E302" s="215">
        <v>3</v>
      </c>
      <c r="F302" s="215" t="s">
        <v>591</v>
      </c>
      <c r="H302" s="118" t="s">
        <v>537</v>
      </c>
      <c r="I302" s="100" t="s">
        <v>547</v>
      </c>
      <c r="J302" s="115" t="s">
        <v>539</v>
      </c>
      <c r="K302" s="115">
        <v>2800</v>
      </c>
    </row>
    <row r="303" spans="1:11" hidden="1" x14ac:dyDescent="0.35">
      <c r="A303" s="215" t="s">
        <v>295</v>
      </c>
      <c r="B303" s="215" t="s">
        <v>633</v>
      </c>
      <c r="C303" s="215" t="s">
        <v>634</v>
      </c>
      <c r="D303" s="215" t="s">
        <v>399</v>
      </c>
      <c r="E303" s="215">
        <v>4</v>
      </c>
      <c r="F303" s="215" t="s">
        <v>591</v>
      </c>
      <c r="H303" s="115" t="s">
        <v>90</v>
      </c>
      <c r="I303" s="115">
        <v>2600</v>
      </c>
      <c r="J303" s="115" t="s">
        <v>540</v>
      </c>
      <c r="K303" s="115">
        <v>9</v>
      </c>
    </row>
    <row r="304" spans="1:11" hidden="1" x14ac:dyDescent="0.35">
      <c r="A304" s="215" t="s">
        <v>295</v>
      </c>
      <c r="B304" s="215" t="s">
        <v>633</v>
      </c>
      <c r="C304" s="215" t="s">
        <v>634</v>
      </c>
      <c r="D304" s="215" t="s">
        <v>399</v>
      </c>
      <c r="E304" s="215">
        <v>5</v>
      </c>
      <c r="F304" s="215" t="s">
        <v>591</v>
      </c>
      <c r="H304" s="136" t="s">
        <v>300</v>
      </c>
      <c r="I304" s="137" t="s">
        <v>541</v>
      </c>
      <c r="J304" s="137" t="s">
        <v>302</v>
      </c>
      <c r="K304" s="138" t="s">
        <v>542</v>
      </c>
    </row>
    <row r="305" spans="1:11" hidden="1" x14ac:dyDescent="0.35">
      <c r="A305" s="219" t="s">
        <v>295</v>
      </c>
      <c r="B305" s="219" t="s">
        <v>633</v>
      </c>
      <c r="C305" s="219" t="s">
        <v>634</v>
      </c>
      <c r="D305" s="219" t="s">
        <v>399</v>
      </c>
      <c r="E305" s="219">
        <v>6</v>
      </c>
      <c r="F305" s="219" t="s">
        <v>591</v>
      </c>
      <c r="G305" s="114"/>
      <c r="H305" s="50" t="s">
        <v>88</v>
      </c>
      <c r="I305" s="160">
        <v>300</v>
      </c>
      <c r="J305" s="134">
        <f>I305*I307</f>
        <v>75</v>
      </c>
      <c r="K305" s="149">
        <f>J305</f>
        <v>75</v>
      </c>
    </row>
    <row r="306" spans="1:11" ht="15" hidden="1" customHeight="1" x14ac:dyDescent="0.35">
      <c r="A306" s="215" t="s">
        <v>295</v>
      </c>
      <c r="B306" s="215" t="s">
        <v>633</v>
      </c>
      <c r="C306" s="215" t="s">
        <v>634</v>
      </c>
      <c r="D306" s="215" t="s">
        <v>399</v>
      </c>
      <c r="E306" s="215">
        <v>7</v>
      </c>
      <c r="F306" s="215" t="s">
        <v>591</v>
      </c>
      <c r="H306" s="62" t="s">
        <v>89</v>
      </c>
      <c r="I306" s="72">
        <v>7.4999999999999997E-2</v>
      </c>
      <c r="J306" s="72">
        <f>IF(J307="1.25m",($I306*I307)-(SUM(QuadCoreMass,CS125Mass)*I307),$I306*I307)</f>
        <v>1.8749999999999999E-2</v>
      </c>
      <c r="K306" s="150">
        <f>J306</f>
        <v>1.8749999999999999E-2</v>
      </c>
    </row>
    <row r="307" spans="1:11" hidden="1" x14ac:dyDescent="0.35">
      <c r="A307" s="219" t="s">
        <v>295</v>
      </c>
      <c r="B307" s="219" t="s">
        <v>633</v>
      </c>
      <c r="C307" s="219" t="s">
        <v>634</v>
      </c>
      <c r="D307" s="219" t="s">
        <v>399</v>
      </c>
      <c r="E307" s="219">
        <v>8</v>
      </c>
      <c r="F307" s="219" t="s">
        <v>591</v>
      </c>
      <c r="G307" s="114"/>
      <c r="H307" s="230" t="s">
        <v>303</v>
      </c>
      <c r="I307" s="135">
        <v>0.25</v>
      </c>
      <c r="J307" s="135" t="s">
        <v>44</v>
      </c>
      <c r="K307" s="134"/>
    </row>
    <row r="308" spans="1:11" s="124" customFormat="1" ht="15" hidden="1" thickBot="1" x14ac:dyDescent="0.4">
      <c r="A308" s="216" t="s">
        <v>295</v>
      </c>
      <c r="B308" s="216" t="s">
        <v>633</v>
      </c>
      <c r="C308" s="216" t="s">
        <v>634</v>
      </c>
      <c r="D308" s="216" t="s">
        <v>399</v>
      </c>
      <c r="E308" s="216">
        <v>9</v>
      </c>
      <c r="F308" s="216" t="s">
        <v>591</v>
      </c>
    </row>
    <row r="309" spans="1:11" ht="18.75" hidden="1" customHeight="1" x14ac:dyDescent="0.45">
      <c r="A309" s="215" t="s">
        <v>599</v>
      </c>
      <c r="B309" s="215" t="s">
        <v>636</v>
      </c>
      <c r="C309" s="215" t="s">
        <v>637</v>
      </c>
      <c r="D309" s="215" t="s">
        <v>399</v>
      </c>
      <c r="E309" s="215">
        <v>1</v>
      </c>
      <c r="F309" s="215" t="s">
        <v>591</v>
      </c>
      <c r="H309" s="116" t="s">
        <v>638</v>
      </c>
      <c r="I309" s="116"/>
      <c r="J309" s="122"/>
      <c r="K309" s="122"/>
    </row>
    <row r="310" spans="1:11" hidden="1" x14ac:dyDescent="0.35">
      <c r="A310" s="215" t="s">
        <v>599</v>
      </c>
      <c r="B310" s="215" t="s">
        <v>636</v>
      </c>
      <c r="C310" s="215" t="s">
        <v>637</v>
      </c>
      <c r="D310" s="215" t="s">
        <v>399</v>
      </c>
      <c r="E310" s="215">
        <v>2</v>
      </c>
      <c r="F310" s="215" t="s">
        <v>591</v>
      </c>
      <c r="H310" s="115" t="s">
        <v>535</v>
      </c>
      <c r="I310" s="115" t="s">
        <v>308</v>
      </c>
      <c r="J310" s="115"/>
      <c r="K310" s="115"/>
    </row>
    <row r="311" spans="1:11" hidden="1" x14ac:dyDescent="0.35">
      <c r="A311" s="215" t="s">
        <v>599</v>
      </c>
      <c r="B311" s="215" t="s">
        <v>636</v>
      </c>
      <c r="C311" s="215" t="s">
        <v>637</v>
      </c>
      <c r="D311" s="215" t="s">
        <v>399</v>
      </c>
      <c r="E311" s="215">
        <v>3</v>
      </c>
      <c r="F311" s="215" t="s">
        <v>591</v>
      </c>
      <c r="H311" s="118" t="s">
        <v>537</v>
      </c>
      <c r="I311" s="115" t="s">
        <v>96</v>
      </c>
      <c r="J311" s="115" t="s">
        <v>539</v>
      </c>
      <c r="K311" s="115">
        <v>3800</v>
      </c>
    </row>
    <row r="312" spans="1:11" hidden="1" x14ac:dyDescent="0.35">
      <c r="A312" s="215" t="s">
        <v>599</v>
      </c>
      <c r="B312" s="215" t="s">
        <v>636</v>
      </c>
      <c r="C312" s="215" t="s">
        <v>637</v>
      </c>
      <c r="D312" s="215" t="s">
        <v>399</v>
      </c>
      <c r="E312" s="215">
        <v>4</v>
      </c>
      <c r="F312" s="215" t="s">
        <v>591</v>
      </c>
      <c r="H312" s="115" t="s">
        <v>90</v>
      </c>
      <c r="I312" s="115">
        <v>2900</v>
      </c>
      <c r="J312" s="115" t="s">
        <v>540</v>
      </c>
      <c r="K312" s="115">
        <v>14</v>
      </c>
    </row>
    <row r="313" spans="1:11" hidden="1" x14ac:dyDescent="0.35">
      <c r="A313" s="215" t="s">
        <v>599</v>
      </c>
      <c r="B313" s="215" t="s">
        <v>636</v>
      </c>
      <c r="C313" s="215" t="s">
        <v>637</v>
      </c>
      <c r="D313" s="215" t="s">
        <v>399</v>
      </c>
      <c r="E313" s="215">
        <v>5</v>
      </c>
      <c r="F313" s="215" t="s">
        <v>591</v>
      </c>
      <c r="H313" s="136" t="s">
        <v>300</v>
      </c>
      <c r="I313" s="137" t="s">
        <v>541</v>
      </c>
      <c r="J313" s="137" t="s">
        <v>302</v>
      </c>
      <c r="K313" s="138" t="s">
        <v>542</v>
      </c>
    </row>
    <row r="314" spans="1:11" hidden="1" x14ac:dyDescent="0.35">
      <c r="A314" s="219" t="s">
        <v>599</v>
      </c>
      <c r="B314" s="219" t="s">
        <v>636</v>
      </c>
      <c r="C314" s="219" t="s">
        <v>637</v>
      </c>
      <c r="D314" s="219" t="s">
        <v>399</v>
      </c>
      <c r="E314" s="219">
        <v>6</v>
      </c>
      <c r="F314" s="219" t="s">
        <v>591</v>
      </c>
      <c r="G314" s="114"/>
      <c r="H314" s="50" t="s">
        <v>88</v>
      </c>
      <c r="I314" s="160">
        <f>$K$279</f>
        <v>250</v>
      </c>
      <c r="J314" s="134">
        <f>I314*I316</f>
        <v>312.5</v>
      </c>
      <c r="K314" s="149">
        <f>J314</f>
        <v>312.5</v>
      </c>
    </row>
    <row r="315" spans="1:11" hidden="1" x14ac:dyDescent="0.35">
      <c r="A315" s="215" t="s">
        <v>599</v>
      </c>
      <c r="B315" s="215" t="s">
        <v>636</v>
      </c>
      <c r="C315" s="215" t="s">
        <v>637</v>
      </c>
      <c r="D315" s="215" t="s">
        <v>399</v>
      </c>
      <c r="E315" s="215">
        <v>7</v>
      </c>
      <c r="F315" s="215" t="s">
        <v>591</v>
      </c>
      <c r="H315" s="62" t="s">
        <v>89</v>
      </c>
      <c r="I315" s="72">
        <f>CS125Mass</f>
        <v>0.05</v>
      </c>
      <c r="J315" s="72">
        <f>IF(J316="1.25m",($I315*I316)-(SUM(QuadCoreMass,CS125Mass)*I316),$I315*I316)</f>
        <v>6.25E-2</v>
      </c>
      <c r="K315" s="150">
        <f>J315</f>
        <v>6.25E-2</v>
      </c>
    </row>
    <row r="316" spans="1:11" ht="15" hidden="1" customHeight="1" x14ac:dyDescent="0.35">
      <c r="A316" s="215" t="s">
        <v>599</v>
      </c>
      <c r="B316" s="215" t="s">
        <v>636</v>
      </c>
      <c r="C316" s="215" t="s">
        <v>637</v>
      </c>
      <c r="D316" s="215" t="s">
        <v>399</v>
      </c>
      <c r="E316" s="215">
        <v>8</v>
      </c>
      <c r="F316" s="215" t="s">
        <v>591</v>
      </c>
      <c r="H316" s="33" t="s">
        <v>303</v>
      </c>
      <c r="I316" s="161">
        <v>1.25</v>
      </c>
      <c r="J316" s="161" t="s">
        <v>44</v>
      </c>
      <c r="K316"/>
    </row>
    <row r="317" spans="1:11" s="114" customFormat="1" hidden="1" x14ac:dyDescent="0.35">
      <c r="A317" s="215" t="s">
        <v>599</v>
      </c>
      <c r="B317" s="215" t="s">
        <v>636</v>
      </c>
      <c r="C317" s="215" t="s">
        <v>637</v>
      </c>
      <c r="D317" s="215" t="s">
        <v>399</v>
      </c>
      <c r="E317" s="215">
        <v>9</v>
      </c>
      <c r="F317" s="215" t="s">
        <v>591</v>
      </c>
    </row>
    <row r="318" spans="1:11" s="114" customFormat="1" hidden="1" x14ac:dyDescent="0.35">
      <c r="A318" s="215" t="s">
        <v>599</v>
      </c>
      <c r="B318" s="215" t="s">
        <v>636</v>
      </c>
      <c r="C318" s="215" t="s">
        <v>637</v>
      </c>
      <c r="D318" s="215" t="s">
        <v>399</v>
      </c>
      <c r="E318" s="215">
        <v>10</v>
      </c>
      <c r="F318" s="215" t="s">
        <v>591</v>
      </c>
      <c r="H318" s="204" t="s">
        <v>399</v>
      </c>
      <c r="I318" s="204" t="s">
        <v>613</v>
      </c>
      <c r="J318" s="204"/>
      <c r="K318" s="204"/>
    </row>
    <row r="319" spans="1:11" s="114" customFormat="1" hidden="1" x14ac:dyDescent="0.35">
      <c r="A319" s="215" t="s">
        <v>599</v>
      </c>
      <c r="B319" s="215" t="s">
        <v>636</v>
      </c>
      <c r="C319" s="215" t="s">
        <v>637</v>
      </c>
      <c r="D319" s="215" t="s">
        <v>399</v>
      </c>
      <c r="E319" s="215">
        <v>11</v>
      </c>
      <c r="F319" s="215" t="s">
        <v>591</v>
      </c>
      <c r="H319" s="134" t="s">
        <v>535</v>
      </c>
      <c r="I319" s="114" t="s">
        <v>614</v>
      </c>
    </row>
    <row r="320" spans="1:11" s="114" customFormat="1" hidden="1" x14ac:dyDescent="0.35">
      <c r="A320" s="219" t="s">
        <v>599</v>
      </c>
      <c r="B320" s="219" t="s">
        <v>636</v>
      </c>
      <c r="C320" s="219" t="s">
        <v>637</v>
      </c>
      <c r="D320" s="219" t="s">
        <v>399</v>
      </c>
      <c r="E320" s="219">
        <v>12</v>
      </c>
      <c r="F320" s="219" t="s">
        <v>591</v>
      </c>
      <c r="H320" s="139" t="s">
        <v>300</v>
      </c>
      <c r="I320" s="140" t="s">
        <v>541</v>
      </c>
      <c r="J320" s="140" t="s">
        <v>302</v>
      </c>
      <c r="K320" s="141" t="s">
        <v>542</v>
      </c>
    </row>
    <row r="321" spans="1:11" s="114" customFormat="1" hidden="1" x14ac:dyDescent="0.35">
      <c r="A321" s="215" t="s">
        <v>599</v>
      </c>
      <c r="B321" s="215" t="s">
        <v>636</v>
      </c>
      <c r="C321" s="215" t="s">
        <v>637</v>
      </c>
      <c r="D321" s="215" t="s">
        <v>399</v>
      </c>
      <c r="E321" s="215">
        <v>13</v>
      </c>
      <c r="F321" s="215" t="s">
        <v>591</v>
      </c>
      <c r="H321" s="62" t="s">
        <v>615</v>
      </c>
      <c r="I321" s="72">
        <v>0.3</v>
      </c>
      <c r="J321" s="72">
        <f>I321*I324</f>
        <v>0.89999999999999991</v>
      </c>
      <c r="K321" s="155">
        <f>J321</f>
        <v>0.89999999999999991</v>
      </c>
    </row>
    <row r="322" spans="1:11" s="114" customFormat="1" hidden="1" x14ac:dyDescent="0.35">
      <c r="A322" s="215" t="s">
        <v>599</v>
      </c>
      <c r="B322" s="215" t="s">
        <v>636</v>
      </c>
      <c r="C322" s="215" t="s">
        <v>637</v>
      </c>
      <c r="D322" s="215" t="s">
        <v>399</v>
      </c>
      <c r="E322" s="215">
        <v>14</v>
      </c>
      <c r="F322" s="215" t="s">
        <v>591</v>
      </c>
      <c r="H322" s="50" t="s">
        <v>88</v>
      </c>
      <c r="I322" s="134">
        <v>75</v>
      </c>
      <c r="J322" s="134">
        <f>I322*I324</f>
        <v>225</v>
      </c>
      <c r="K322" s="149">
        <f>J322</f>
        <v>225</v>
      </c>
    </row>
    <row r="323" spans="1:11" s="114" customFormat="1" hidden="1" x14ac:dyDescent="0.35">
      <c r="A323" s="219" t="s">
        <v>599</v>
      </c>
      <c r="B323" s="219" t="s">
        <v>636</v>
      </c>
      <c r="C323" s="219" t="s">
        <v>637</v>
      </c>
      <c r="D323" s="219" t="s">
        <v>399</v>
      </c>
      <c r="E323" s="219">
        <v>15</v>
      </c>
      <c r="F323" s="219" t="s">
        <v>591</v>
      </c>
      <c r="H323" s="62" t="s">
        <v>89</v>
      </c>
      <c r="I323" s="72">
        <v>5.0000000000000001E-3</v>
      </c>
      <c r="J323" s="72">
        <f>IF(J324="1.25m",($I323*I324)-(SUM(QuadCoreMass,CS125Mass)*I324),$I323*I324)</f>
        <v>1.4999999999999999E-2</v>
      </c>
      <c r="K323" s="150">
        <f>J323</f>
        <v>1.4999999999999999E-2</v>
      </c>
    </row>
    <row r="324" spans="1:11" s="114" customFormat="1" hidden="1" x14ac:dyDescent="0.35">
      <c r="A324" s="215" t="s">
        <v>599</v>
      </c>
      <c r="B324" s="215" t="s">
        <v>636</v>
      </c>
      <c r="C324" s="215" t="s">
        <v>637</v>
      </c>
      <c r="D324" s="215" t="s">
        <v>399</v>
      </c>
      <c r="E324" s="215">
        <v>16</v>
      </c>
      <c r="F324" s="215" t="s">
        <v>591</v>
      </c>
      <c r="H324" s="33" t="s">
        <v>303</v>
      </c>
      <c r="I324" s="135">
        <v>3</v>
      </c>
      <c r="J324" s="135" t="s">
        <v>44</v>
      </c>
      <c r="K324"/>
    </row>
    <row r="325" spans="1:11" s="124" customFormat="1" ht="15.75" hidden="1" customHeight="1" thickBot="1" x14ac:dyDescent="0.4">
      <c r="A325" s="216" t="s">
        <v>599</v>
      </c>
      <c r="B325" s="216" t="s">
        <v>636</v>
      </c>
      <c r="C325" s="216" t="s">
        <v>637</v>
      </c>
      <c r="D325" s="216" t="s">
        <v>399</v>
      </c>
      <c r="E325" s="216">
        <v>17</v>
      </c>
      <c r="F325" s="216" t="s">
        <v>591</v>
      </c>
      <c r="H325" s="162"/>
      <c r="I325" s="163"/>
      <c r="J325" s="163"/>
    </row>
    <row r="326" spans="1:11" ht="18.75" hidden="1" customHeight="1" x14ac:dyDescent="0.45">
      <c r="A326" s="215" t="s">
        <v>295</v>
      </c>
      <c r="B326" s="215" t="s">
        <v>639</v>
      </c>
      <c r="C326" s="215" t="s">
        <v>640</v>
      </c>
      <c r="D326" s="215" t="s">
        <v>399</v>
      </c>
      <c r="E326" s="215">
        <v>1</v>
      </c>
      <c r="F326" s="215" t="s">
        <v>420</v>
      </c>
      <c r="H326" s="225" t="s">
        <v>641</v>
      </c>
      <c r="I326" s="225"/>
      <c r="J326" s="225"/>
      <c r="K326" s="225"/>
    </row>
    <row r="327" spans="1:11" hidden="1" x14ac:dyDescent="0.35">
      <c r="A327" s="215" t="s">
        <v>295</v>
      </c>
      <c r="B327" s="215" t="s">
        <v>639</v>
      </c>
      <c r="C327" s="215" t="s">
        <v>640</v>
      </c>
      <c r="D327" s="215" t="s">
        <v>399</v>
      </c>
      <c r="E327" s="215">
        <v>2</v>
      </c>
      <c r="F327" s="215" t="s">
        <v>420</v>
      </c>
      <c r="H327" s="115" t="s">
        <v>535</v>
      </c>
      <c r="I327" s="115" t="s">
        <v>642</v>
      </c>
      <c r="J327" s="100"/>
      <c r="K327" s="115"/>
    </row>
    <row r="328" spans="1:11" hidden="1" x14ac:dyDescent="0.35">
      <c r="A328" s="215" t="s">
        <v>295</v>
      </c>
      <c r="B328" s="215" t="s">
        <v>639</v>
      </c>
      <c r="C328" s="215" t="s">
        <v>640</v>
      </c>
      <c r="D328" s="215" t="s">
        <v>399</v>
      </c>
      <c r="E328" s="215">
        <v>3</v>
      </c>
      <c r="F328" s="215" t="s">
        <v>420</v>
      </c>
      <c r="H328" s="115" t="s">
        <v>537</v>
      </c>
      <c r="I328" s="115" t="s">
        <v>547</v>
      </c>
      <c r="J328" s="115" t="s">
        <v>539</v>
      </c>
      <c r="K328" s="100">
        <v>2700</v>
      </c>
    </row>
    <row r="329" spans="1:11" hidden="1" x14ac:dyDescent="0.35">
      <c r="A329" s="215" t="s">
        <v>295</v>
      </c>
      <c r="B329" s="215" t="s">
        <v>639</v>
      </c>
      <c r="C329" s="215" t="s">
        <v>640</v>
      </c>
      <c r="D329" s="215" t="s">
        <v>399</v>
      </c>
      <c r="E329" s="215">
        <v>4</v>
      </c>
      <c r="F329" s="215" t="s">
        <v>420</v>
      </c>
      <c r="H329" s="115" t="s">
        <v>90</v>
      </c>
      <c r="I329" s="115">
        <v>2000</v>
      </c>
      <c r="J329" s="115" t="s">
        <v>540</v>
      </c>
      <c r="K329" s="115">
        <v>6</v>
      </c>
    </row>
    <row r="330" spans="1:11" hidden="1" x14ac:dyDescent="0.35">
      <c r="A330" s="215" t="s">
        <v>295</v>
      </c>
      <c r="B330" s="215" t="s">
        <v>639</v>
      </c>
      <c r="C330" s="215" t="s">
        <v>640</v>
      </c>
      <c r="D330" s="215" t="s">
        <v>399</v>
      </c>
      <c r="E330" s="215">
        <v>5</v>
      </c>
      <c r="F330" s="215" t="s">
        <v>420</v>
      </c>
      <c r="H330" s="136" t="s">
        <v>300</v>
      </c>
      <c r="I330" s="137" t="s">
        <v>541</v>
      </c>
      <c r="J330" s="137" t="s">
        <v>302</v>
      </c>
      <c r="K330" s="138" t="s">
        <v>542</v>
      </c>
    </row>
    <row r="331" spans="1:11" hidden="1" x14ac:dyDescent="0.35">
      <c r="A331" s="215" t="s">
        <v>295</v>
      </c>
      <c r="B331" s="215" t="s">
        <v>639</v>
      </c>
      <c r="C331" s="215" t="s">
        <v>640</v>
      </c>
      <c r="D331" s="215" t="s">
        <v>399</v>
      </c>
      <c r="E331" s="215">
        <v>6</v>
      </c>
      <c r="F331" s="215" t="s">
        <v>420</v>
      </c>
      <c r="H331" s="62" t="s">
        <v>643</v>
      </c>
      <c r="I331" s="148" t="s">
        <v>644</v>
      </c>
      <c r="J331" s="148" t="s">
        <v>645</v>
      </c>
      <c r="K331" s="166" t="str">
        <f>J331</f>
        <v>50/4/2</v>
      </c>
    </row>
    <row r="332" spans="1:11" hidden="1" x14ac:dyDescent="0.35">
      <c r="A332" s="215" t="s">
        <v>295</v>
      </c>
      <c r="B332" s="215" t="s">
        <v>639</v>
      </c>
      <c r="C332" s="215" t="s">
        <v>640</v>
      </c>
      <c r="D332" s="215" t="s">
        <v>399</v>
      </c>
      <c r="E332" s="215">
        <v>7</v>
      </c>
      <c r="F332" s="215" t="s">
        <v>420</v>
      </c>
      <c r="H332" s="50" t="s">
        <v>88</v>
      </c>
      <c r="I332" s="134">
        <v>420</v>
      </c>
      <c r="J332" s="134">
        <f>I332*I334</f>
        <v>210</v>
      </c>
      <c r="K332" s="149">
        <f>J332</f>
        <v>210</v>
      </c>
    </row>
    <row r="333" spans="1:11" hidden="1" x14ac:dyDescent="0.35">
      <c r="A333" s="215" t="s">
        <v>295</v>
      </c>
      <c r="B333" s="215" t="s">
        <v>639</v>
      </c>
      <c r="C333" s="215" t="s">
        <v>640</v>
      </c>
      <c r="D333" s="215" t="s">
        <v>399</v>
      </c>
      <c r="E333" s="215">
        <v>8</v>
      </c>
      <c r="F333" s="215" t="s">
        <v>420</v>
      </c>
      <c r="H333" s="62" t="s">
        <v>89</v>
      </c>
      <c r="I333" s="72">
        <v>0.01</v>
      </c>
      <c r="J333" s="72">
        <f>IF(J334="1.25m",($I333*I334)-(SUM(QuadCoreMass,CS125Mass)*I334),$I333*I334)</f>
        <v>5.0000000000000001E-3</v>
      </c>
      <c r="K333" s="150">
        <f>J333</f>
        <v>5.0000000000000001E-3</v>
      </c>
    </row>
    <row r="334" spans="1:11" ht="15" hidden="1" customHeight="1" x14ac:dyDescent="0.35">
      <c r="A334" s="215" t="s">
        <v>295</v>
      </c>
      <c r="B334" s="215" t="s">
        <v>639</v>
      </c>
      <c r="C334" s="215" t="s">
        <v>640</v>
      </c>
      <c r="D334" s="215" t="s">
        <v>399</v>
      </c>
      <c r="E334" s="215">
        <v>9</v>
      </c>
      <c r="F334" s="215" t="s">
        <v>420</v>
      </c>
      <c r="H334" s="33" t="s">
        <v>303</v>
      </c>
      <c r="I334" s="135">
        <v>0.5</v>
      </c>
      <c r="J334" s="135" t="s">
        <v>44</v>
      </c>
      <c r="K334"/>
    </row>
    <row r="335" spans="1:11" s="124" customFormat="1" ht="15.75" hidden="1" customHeight="1" thickBot="1" x14ac:dyDescent="0.4">
      <c r="A335" s="216" t="s">
        <v>295</v>
      </c>
      <c r="B335" s="216" t="s">
        <v>639</v>
      </c>
      <c r="C335" s="216" t="s">
        <v>640</v>
      </c>
      <c r="D335" s="216" t="s">
        <v>399</v>
      </c>
      <c r="E335" s="216">
        <v>10</v>
      </c>
      <c r="F335" s="216" t="s">
        <v>420</v>
      </c>
    </row>
    <row r="336" spans="1:11" ht="18.75" hidden="1" customHeight="1" x14ac:dyDescent="0.45">
      <c r="A336" s="215" t="s">
        <v>295</v>
      </c>
      <c r="B336" s="215" t="s">
        <v>646</v>
      </c>
      <c r="C336" s="215" t="s">
        <v>647</v>
      </c>
      <c r="D336" s="215" t="s">
        <v>399</v>
      </c>
      <c r="E336" s="215">
        <v>1</v>
      </c>
      <c r="F336" s="215" t="s">
        <v>420</v>
      </c>
      <c r="H336" s="225" t="s">
        <v>648</v>
      </c>
      <c r="I336" s="225"/>
      <c r="J336" s="225"/>
      <c r="K336" s="225"/>
    </row>
    <row r="337" spans="1:21" hidden="1" x14ac:dyDescent="0.35">
      <c r="A337" s="215" t="s">
        <v>295</v>
      </c>
      <c r="B337" s="215" t="s">
        <v>646</v>
      </c>
      <c r="C337" s="215" t="s">
        <v>647</v>
      </c>
      <c r="D337" s="215" t="s">
        <v>399</v>
      </c>
      <c r="E337" s="215">
        <v>2</v>
      </c>
      <c r="F337" s="215" t="s">
        <v>420</v>
      </c>
      <c r="H337" s="115" t="s">
        <v>535</v>
      </c>
      <c r="I337" s="115" t="s">
        <v>641</v>
      </c>
      <c r="J337" s="115"/>
      <c r="K337" s="115"/>
      <c r="N337" s="114"/>
      <c r="S337" s="114"/>
    </row>
    <row r="338" spans="1:21" hidden="1" x14ac:dyDescent="0.35">
      <c r="A338" s="215" t="s">
        <v>295</v>
      </c>
      <c r="B338" s="215" t="s">
        <v>646</v>
      </c>
      <c r="C338" s="215" t="s">
        <v>647</v>
      </c>
      <c r="D338" s="215" t="s">
        <v>399</v>
      </c>
      <c r="E338" s="215">
        <v>3</v>
      </c>
      <c r="F338" s="215" t="s">
        <v>420</v>
      </c>
      <c r="H338" s="115" t="s">
        <v>537</v>
      </c>
      <c r="I338" s="115" t="s">
        <v>547</v>
      </c>
      <c r="J338" s="115" t="s">
        <v>539</v>
      </c>
      <c r="K338" s="115">
        <v>2700</v>
      </c>
      <c r="M338" s="114"/>
      <c r="N338" s="114"/>
      <c r="O338" s="114"/>
      <c r="P338" s="114"/>
      <c r="R338" s="114"/>
      <c r="S338" s="114"/>
      <c r="T338" s="114"/>
      <c r="U338" s="114"/>
    </row>
    <row r="339" spans="1:21" hidden="1" x14ac:dyDescent="0.35">
      <c r="A339" s="215" t="s">
        <v>295</v>
      </c>
      <c r="B339" s="215" t="s">
        <v>646</v>
      </c>
      <c r="C339" s="215" t="s">
        <v>647</v>
      </c>
      <c r="D339" s="215" t="s">
        <v>399</v>
      </c>
      <c r="E339" s="215">
        <v>4</v>
      </c>
      <c r="F339" s="215" t="s">
        <v>420</v>
      </c>
      <c r="H339" s="115" t="s">
        <v>90</v>
      </c>
      <c r="I339" s="115">
        <v>2000</v>
      </c>
      <c r="J339" s="115" t="s">
        <v>540</v>
      </c>
      <c r="K339" s="115">
        <v>6</v>
      </c>
      <c r="M339" s="114"/>
      <c r="N339" s="114"/>
      <c r="O339" s="114"/>
      <c r="P339" s="114"/>
      <c r="R339" s="114"/>
      <c r="S339" s="114"/>
      <c r="T339" s="114"/>
      <c r="U339" s="114"/>
    </row>
    <row r="340" spans="1:21" hidden="1" x14ac:dyDescent="0.35">
      <c r="A340" s="215" t="s">
        <v>295</v>
      </c>
      <c r="B340" s="215" t="s">
        <v>646</v>
      </c>
      <c r="C340" s="215" t="s">
        <v>647</v>
      </c>
      <c r="D340" s="215" t="s">
        <v>399</v>
      </c>
      <c r="E340" s="215">
        <v>5</v>
      </c>
      <c r="F340" s="215" t="s">
        <v>420</v>
      </c>
      <c r="H340" s="136" t="s">
        <v>300</v>
      </c>
      <c r="I340" s="137" t="s">
        <v>541</v>
      </c>
      <c r="J340" s="137" t="s">
        <v>302</v>
      </c>
      <c r="K340" s="138" t="s">
        <v>542</v>
      </c>
      <c r="M340" s="114"/>
      <c r="N340" s="114"/>
      <c r="P340" s="114"/>
      <c r="R340" s="114"/>
      <c r="S340" s="114"/>
      <c r="U340" s="114"/>
    </row>
    <row r="341" spans="1:21" hidden="1" x14ac:dyDescent="0.35">
      <c r="A341" s="215" t="s">
        <v>295</v>
      </c>
      <c r="B341" s="215" t="s">
        <v>646</v>
      </c>
      <c r="C341" s="215" t="s">
        <v>647</v>
      </c>
      <c r="D341" s="215" t="s">
        <v>399</v>
      </c>
      <c r="E341" s="215">
        <v>6</v>
      </c>
      <c r="F341" s="215" t="s">
        <v>420</v>
      </c>
      <c r="H341" s="62" t="s">
        <v>643</v>
      </c>
      <c r="I341" s="165" t="str">
        <f>K331</f>
        <v>50/4/2</v>
      </c>
      <c r="J341" s="165" t="s">
        <v>645</v>
      </c>
      <c r="K341" s="166" t="str">
        <f>J341</f>
        <v>50/4/2</v>
      </c>
      <c r="M341" s="114"/>
      <c r="N341" s="114"/>
      <c r="O341" s="114"/>
      <c r="P341" s="114"/>
      <c r="R341" s="114"/>
      <c r="S341" s="114"/>
      <c r="T341" s="114"/>
      <c r="U341" s="114"/>
    </row>
    <row r="342" spans="1:21" hidden="1" x14ac:dyDescent="0.35">
      <c r="A342" s="215" t="s">
        <v>295</v>
      </c>
      <c r="B342" s="215" t="s">
        <v>646</v>
      </c>
      <c r="C342" s="215" t="s">
        <v>647</v>
      </c>
      <c r="D342" s="215" t="s">
        <v>399</v>
      </c>
      <c r="E342" s="215">
        <v>7</v>
      </c>
      <c r="F342" s="215" t="s">
        <v>420</v>
      </c>
      <c r="H342" s="50" t="s">
        <v>88</v>
      </c>
      <c r="I342" s="160">
        <f>K332</f>
        <v>210</v>
      </c>
      <c r="J342" s="134">
        <f>I342*I344</f>
        <v>210</v>
      </c>
      <c r="K342" s="149">
        <f>J342</f>
        <v>210</v>
      </c>
      <c r="M342" s="114"/>
      <c r="N342" s="114"/>
      <c r="O342" s="114"/>
      <c r="P342" s="114"/>
      <c r="R342" s="114"/>
      <c r="S342" s="114"/>
      <c r="T342" s="114"/>
      <c r="U342" s="114"/>
    </row>
    <row r="343" spans="1:21" ht="15" hidden="1" customHeight="1" x14ac:dyDescent="0.35">
      <c r="A343" s="215" t="s">
        <v>295</v>
      </c>
      <c r="B343" s="215" t="s">
        <v>646</v>
      </c>
      <c r="C343" s="215" t="s">
        <v>647</v>
      </c>
      <c r="D343" s="215" t="s">
        <v>399</v>
      </c>
      <c r="E343" s="215">
        <v>8</v>
      </c>
      <c r="F343" s="215" t="s">
        <v>420</v>
      </c>
      <c r="H343" s="62" t="s">
        <v>89</v>
      </c>
      <c r="I343" s="164">
        <f>K333</f>
        <v>5.0000000000000001E-3</v>
      </c>
      <c r="J343" s="72">
        <f>IF(J344="1.25m",($I343*I344)-(SUM(QuadCoreMass,CS125Mass)*I344),$I343*I344)</f>
        <v>5.0000000000000001E-3</v>
      </c>
      <c r="K343" s="150">
        <f>J343</f>
        <v>5.0000000000000001E-3</v>
      </c>
      <c r="N343" s="114"/>
      <c r="S343" s="114"/>
    </row>
    <row r="344" spans="1:21" hidden="1" x14ac:dyDescent="0.35">
      <c r="A344" s="215" t="s">
        <v>295</v>
      </c>
      <c r="B344" s="215" t="s">
        <v>646</v>
      </c>
      <c r="C344" s="215" t="s">
        <v>647</v>
      </c>
      <c r="D344" s="215" t="s">
        <v>399</v>
      </c>
      <c r="E344" s="215">
        <v>9</v>
      </c>
      <c r="F344" s="215" t="s">
        <v>420</v>
      </c>
      <c r="H344" s="33" t="s">
        <v>303</v>
      </c>
      <c r="I344" s="135">
        <v>1</v>
      </c>
      <c r="J344" s="135" t="s">
        <v>44</v>
      </c>
      <c r="K344"/>
    </row>
    <row r="345" spans="1:21" s="124" customFormat="1" ht="15" hidden="1" thickBot="1" x14ac:dyDescent="0.4">
      <c r="A345" s="216" t="s">
        <v>295</v>
      </c>
      <c r="B345" s="216" t="s">
        <v>646</v>
      </c>
      <c r="C345" s="216" t="s">
        <v>647</v>
      </c>
      <c r="D345" s="216" t="s">
        <v>399</v>
      </c>
      <c r="E345" s="216">
        <v>11</v>
      </c>
      <c r="F345" s="216" t="s">
        <v>420</v>
      </c>
    </row>
    <row r="346" spans="1:21" s="16" customFormat="1" ht="18.75" hidden="1" customHeight="1" x14ac:dyDescent="0.45">
      <c r="A346" s="215" t="s">
        <v>295</v>
      </c>
      <c r="B346" s="215" t="s">
        <v>649</v>
      </c>
      <c r="C346" s="215" t="s">
        <v>650</v>
      </c>
      <c r="D346" s="215" t="s">
        <v>399</v>
      </c>
      <c r="E346" s="215">
        <v>1</v>
      </c>
      <c r="F346" s="215" t="s">
        <v>651</v>
      </c>
      <c r="G346" s="121"/>
      <c r="H346" s="116" t="s">
        <v>95</v>
      </c>
      <c r="I346" s="116"/>
      <c r="J346" s="122"/>
      <c r="K346" s="122"/>
      <c r="M346" s="239"/>
      <c r="N346" s="239"/>
      <c r="O346" s="239"/>
      <c r="P346" s="239"/>
      <c r="R346" s="239"/>
      <c r="S346" s="117"/>
      <c r="T346" s="117"/>
      <c r="U346" s="239"/>
    </row>
    <row r="347" spans="1:21" hidden="1" x14ac:dyDescent="0.35">
      <c r="A347" s="215" t="s">
        <v>295</v>
      </c>
      <c r="B347" s="215" t="s">
        <v>649</v>
      </c>
      <c r="C347" s="215" t="s">
        <v>650</v>
      </c>
      <c r="D347" s="215" t="s">
        <v>399</v>
      </c>
      <c r="E347" s="215">
        <v>2</v>
      </c>
      <c r="F347" s="215" t="s">
        <v>651</v>
      </c>
      <c r="G347" s="119"/>
      <c r="H347" s="115" t="s">
        <v>535</v>
      </c>
      <c r="I347" s="115" t="s">
        <v>622</v>
      </c>
      <c r="J347" s="115"/>
      <c r="K347" s="115"/>
      <c r="M347" s="114"/>
      <c r="P347" s="114"/>
      <c r="R347" s="114"/>
      <c r="S347" s="114"/>
      <c r="T347" s="114"/>
      <c r="U347" s="114"/>
    </row>
    <row r="348" spans="1:21" hidden="1" x14ac:dyDescent="0.35">
      <c r="A348" s="215" t="s">
        <v>295</v>
      </c>
      <c r="B348" s="215" t="s">
        <v>649</v>
      </c>
      <c r="C348" s="215" t="s">
        <v>650</v>
      </c>
      <c r="D348" s="215" t="s">
        <v>399</v>
      </c>
      <c r="E348" s="215">
        <v>3</v>
      </c>
      <c r="F348" s="215" t="s">
        <v>651</v>
      </c>
      <c r="G348" s="119"/>
      <c r="H348" s="118" t="s">
        <v>537</v>
      </c>
      <c r="I348" s="115" t="s">
        <v>547</v>
      </c>
      <c r="J348" s="115" t="s">
        <v>539</v>
      </c>
      <c r="K348" s="115">
        <v>2600</v>
      </c>
      <c r="M348" s="114"/>
      <c r="N348" s="114"/>
      <c r="O348" s="114"/>
      <c r="P348" s="114"/>
      <c r="R348" s="114"/>
      <c r="S348" s="114"/>
      <c r="T348" s="114"/>
      <c r="U348" s="114"/>
    </row>
    <row r="349" spans="1:21" hidden="1" x14ac:dyDescent="0.35">
      <c r="A349" s="219" t="s">
        <v>295</v>
      </c>
      <c r="B349" s="219" t="s">
        <v>649</v>
      </c>
      <c r="C349" s="219" t="s">
        <v>650</v>
      </c>
      <c r="D349" s="219" t="s">
        <v>399</v>
      </c>
      <c r="E349" s="219">
        <v>4</v>
      </c>
      <c r="F349" s="219" t="s">
        <v>651</v>
      </c>
      <c r="G349" s="125"/>
      <c r="H349" s="115" t="s">
        <v>90</v>
      </c>
      <c r="I349" s="115">
        <v>2900</v>
      </c>
      <c r="J349" s="115" t="s">
        <v>540</v>
      </c>
      <c r="K349" s="115">
        <v>14</v>
      </c>
      <c r="L349" s="114"/>
      <c r="M349" s="114"/>
      <c r="N349" s="114"/>
      <c r="O349" s="114"/>
      <c r="P349" s="114"/>
      <c r="Q349" s="114"/>
      <c r="R349" s="114"/>
      <c r="S349" s="114"/>
      <c r="T349" s="114"/>
      <c r="U349" s="114"/>
    </row>
    <row r="350" spans="1:21" hidden="1" x14ac:dyDescent="0.35">
      <c r="A350" s="219" t="s">
        <v>295</v>
      </c>
      <c r="B350" s="219" t="s">
        <v>649</v>
      </c>
      <c r="C350" s="219" t="s">
        <v>650</v>
      </c>
      <c r="D350" s="219" t="s">
        <v>399</v>
      </c>
      <c r="E350" s="219">
        <v>5</v>
      </c>
      <c r="F350" s="219" t="s">
        <v>651</v>
      </c>
      <c r="G350" s="125"/>
      <c r="H350" s="136" t="s">
        <v>300</v>
      </c>
      <c r="I350" s="137" t="s">
        <v>541</v>
      </c>
      <c r="J350" s="137" t="s">
        <v>302</v>
      </c>
      <c r="K350" s="138" t="s">
        <v>542</v>
      </c>
      <c r="L350" s="114"/>
      <c r="M350" s="114"/>
      <c r="N350" s="114"/>
      <c r="O350" s="114"/>
      <c r="P350" s="114"/>
      <c r="Q350" s="114"/>
      <c r="R350" s="114"/>
      <c r="S350" s="114"/>
      <c r="T350" s="114"/>
      <c r="U350" s="114"/>
    </row>
    <row r="351" spans="1:21" hidden="1" x14ac:dyDescent="0.35">
      <c r="A351" s="215" t="s">
        <v>295</v>
      </c>
      <c r="B351" s="215" t="s">
        <v>649</v>
      </c>
      <c r="C351" s="215" t="s">
        <v>650</v>
      </c>
      <c r="D351" s="215" t="s">
        <v>399</v>
      </c>
      <c r="E351" s="215">
        <v>6</v>
      </c>
      <c r="F351" s="215" t="s">
        <v>651</v>
      </c>
      <c r="G351" s="119"/>
      <c r="H351" s="50" t="s">
        <v>88</v>
      </c>
      <c r="I351" s="134">
        <v>500</v>
      </c>
      <c r="J351" s="134">
        <f>I351*I353</f>
        <v>250</v>
      </c>
      <c r="K351" s="149">
        <f>J351</f>
        <v>250</v>
      </c>
      <c r="M351" s="114"/>
      <c r="P351" s="114"/>
    </row>
    <row r="352" spans="1:21" ht="15" hidden="1" customHeight="1" x14ac:dyDescent="0.35">
      <c r="A352" s="215" t="s">
        <v>295</v>
      </c>
      <c r="B352" s="215" t="s">
        <v>649</v>
      </c>
      <c r="C352" s="215" t="s">
        <v>650</v>
      </c>
      <c r="D352" s="215" t="s">
        <v>399</v>
      </c>
      <c r="E352" s="215">
        <v>7</v>
      </c>
      <c r="F352" s="215" t="s">
        <v>651</v>
      </c>
      <c r="G352" s="119"/>
      <c r="H352" s="62" t="s">
        <v>89</v>
      </c>
      <c r="I352" s="72">
        <v>0.1</v>
      </c>
      <c r="J352" s="72">
        <f>IF(J353="1.25m",($I352*I353)-(SUM(QuadCoreMass,CS125Mass)*I353),$I352*I353)</f>
        <v>0.05</v>
      </c>
      <c r="K352" s="150">
        <f>J352</f>
        <v>0.05</v>
      </c>
      <c r="M352" s="114"/>
      <c r="P352" s="114"/>
    </row>
    <row r="353" spans="1:11" ht="15" hidden="1" customHeight="1" x14ac:dyDescent="0.35">
      <c r="A353" s="215" t="s">
        <v>295</v>
      </c>
      <c r="B353" s="215" t="s">
        <v>649</v>
      </c>
      <c r="C353" s="215" t="s">
        <v>650</v>
      </c>
      <c r="D353" s="215" t="s">
        <v>399</v>
      </c>
      <c r="E353" s="215">
        <v>8</v>
      </c>
      <c r="F353" s="215" t="s">
        <v>651</v>
      </c>
      <c r="G353" s="119"/>
      <c r="H353" s="33" t="s">
        <v>303</v>
      </c>
      <c r="I353" s="135">
        <v>0.5</v>
      </c>
      <c r="J353" s="135" t="s">
        <v>44</v>
      </c>
      <c r="K353"/>
    </row>
    <row r="354" spans="1:11" s="124" customFormat="1" ht="15.75" hidden="1" customHeight="1" thickBot="1" x14ac:dyDescent="0.4">
      <c r="A354" s="216" t="s">
        <v>295</v>
      </c>
      <c r="B354" s="216" t="s">
        <v>649</v>
      </c>
      <c r="C354" s="216" t="s">
        <v>650</v>
      </c>
      <c r="D354" s="216" t="s">
        <v>399</v>
      </c>
      <c r="E354" s="216">
        <v>9</v>
      </c>
      <c r="F354" s="216" t="s">
        <v>651</v>
      </c>
      <c r="G354" s="123"/>
    </row>
    <row r="355" spans="1:11" ht="18.75" hidden="1" customHeight="1" x14ac:dyDescent="0.45">
      <c r="A355" s="215" t="s">
        <v>295</v>
      </c>
      <c r="B355" s="215" t="s">
        <v>652</v>
      </c>
      <c r="C355" s="215" t="s">
        <v>653</v>
      </c>
      <c r="D355" s="215" t="s">
        <v>399</v>
      </c>
      <c r="E355" s="215">
        <v>1</v>
      </c>
      <c r="F355" s="215" t="s">
        <v>651</v>
      </c>
      <c r="G355" s="119"/>
      <c r="H355" s="116" t="s">
        <v>654</v>
      </c>
      <c r="I355" s="116"/>
      <c r="J355" s="122"/>
      <c r="K355" s="122"/>
    </row>
    <row r="356" spans="1:11" ht="15" hidden="1" customHeight="1" x14ac:dyDescent="0.35">
      <c r="A356" s="215" t="s">
        <v>295</v>
      </c>
      <c r="B356" s="215" t="s">
        <v>652</v>
      </c>
      <c r="C356" s="215" t="s">
        <v>653</v>
      </c>
      <c r="D356" s="215" t="s">
        <v>399</v>
      </c>
      <c r="E356" s="215">
        <v>2</v>
      </c>
      <c r="F356" s="215" t="s">
        <v>651</v>
      </c>
      <c r="G356" s="119"/>
      <c r="H356" s="115" t="s">
        <v>535</v>
      </c>
      <c r="I356" s="115" t="s">
        <v>95</v>
      </c>
      <c r="J356" s="115"/>
      <c r="K356" s="115"/>
    </row>
    <row r="357" spans="1:11" ht="15" hidden="1" customHeight="1" x14ac:dyDescent="0.35">
      <c r="A357" s="215" t="s">
        <v>295</v>
      </c>
      <c r="B357" s="215" t="s">
        <v>652</v>
      </c>
      <c r="C357" s="215" t="s">
        <v>653</v>
      </c>
      <c r="D357" s="215" t="s">
        <v>399</v>
      </c>
      <c r="E357" s="215">
        <v>3</v>
      </c>
      <c r="F357" s="215" t="s">
        <v>651</v>
      </c>
      <c r="G357" s="119"/>
      <c r="H357" s="118" t="s">
        <v>537</v>
      </c>
      <c r="I357" s="115" t="s">
        <v>96</v>
      </c>
      <c r="J357" s="115" t="s">
        <v>539</v>
      </c>
      <c r="K357" s="115">
        <v>3600</v>
      </c>
    </row>
    <row r="358" spans="1:11" ht="15" hidden="1" customHeight="1" x14ac:dyDescent="0.35">
      <c r="A358" s="215" t="s">
        <v>295</v>
      </c>
      <c r="B358" s="215" t="s">
        <v>652</v>
      </c>
      <c r="C358" s="215" t="s">
        <v>653</v>
      </c>
      <c r="D358" s="215" t="s">
        <v>399</v>
      </c>
      <c r="E358" s="215">
        <v>4</v>
      </c>
      <c r="F358" s="215" t="s">
        <v>651</v>
      </c>
      <c r="G358" s="119"/>
      <c r="H358" s="100" t="s">
        <v>90</v>
      </c>
      <c r="I358" s="115">
        <v>2900</v>
      </c>
      <c r="J358" s="115" t="s">
        <v>540</v>
      </c>
      <c r="K358" s="115">
        <v>14</v>
      </c>
    </row>
    <row r="359" spans="1:11" ht="15" hidden="1" customHeight="1" x14ac:dyDescent="0.35">
      <c r="A359" s="215" t="s">
        <v>295</v>
      </c>
      <c r="B359" s="215" t="s">
        <v>652</v>
      </c>
      <c r="C359" s="215" t="s">
        <v>653</v>
      </c>
      <c r="D359" s="215" t="s">
        <v>399</v>
      </c>
      <c r="E359" s="215">
        <v>5</v>
      </c>
      <c r="F359" s="215" t="s">
        <v>651</v>
      </c>
      <c r="G359" s="119"/>
      <c r="H359" s="136" t="s">
        <v>300</v>
      </c>
      <c r="I359" s="137" t="s">
        <v>541</v>
      </c>
      <c r="J359" s="137" t="s">
        <v>302</v>
      </c>
      <c r="K359" s="138" t="s">
        <v>542</v>
      </c>
    </row>
    <row r="360" spans="1:11" ht="15" hidden="1" customHeight="1" x14ac:dyDescent="0.35">
      <c r="A360" s="215" t="s">
        <v>295</v>
      </c>
      <c r="B360" s="215" t="s">
        <v>652</v>
      </c>
      <c r="C360" s="215" t="s">
        <v>653</v>
      </c>
      <c r="D360" s="215" t="s">
        <v>399</v>
      </c>
      <c r="E360" s="215">
        <v>6</v>
      </c>
      <c r="F360" s="215" t="s">
        <v>651</v>
      </c>
      <c r="G360" s="119"/>
      <c r="H360" s="50" t="s">
        <v>88</v>
      </c>
      <c r="I360" s="160">
        <f>K351</f>
        <v>250</v>
      </c>
      <c r="J360" s="134">
        <f>I360*I362</f>
        <v>312.5</v>
      </c>
      <c r="K360" s="149">
        <f>J360</f>
        <v>312.5</v>
      </c>
    </row>
    <row r="361" spans="1:11" hidden="1" x14ac:dyDescent="0.35">
      <c r="A361" s="215" t="s">
        <v>295</v>
      </c>
      <c r="B361" s="215" t="s">
        <v>652</v>
      </c>
      <c r="C361" s="215" t="s">
        <v>653</v>
      </c>
      <c r="D361" s="215" t="s">
        <v>399</v>
      </c>
      <c r="E361" s="215">
        <v>7</v>
      </c>
      <c r="F361" s="215" t="s">
        <v>651</v>
      </c>
      <c r="G361" s="119"/>
      <c r="H361" s="62" t="s">
        <v>89</v>
      </c>
      <c r="I361" s="72">
        <f>QuadCoreMass</f>
        <v>0.05</v>
      </c>
      <c r="J361" s="72">
        <f>IF(J362="1.25m",($I361*I362)-(SUM(QuadCoreMass,CS125Mass)*I362),$I361*I362)</f>
        <v>6.25E-2</v>
      </c>
      <c r="K361" s="150">
        <f>J361</f>
        <v>6.25E-2</v>
      </c>
    </row>
    <row r="362" spans="1:11" hidden="1" x14ac:dyDescent="0.35">
      <c r="A362" s="215" t="s">
        <v>295</v>
      </c>
      <c r="B362" s="215" t="s">
        <v>652</v>
      </c>
      <c r="C362" s="215" t="s">
        <v>653</v>
      </c>
      <c r="D362" s="215" t="s">
        <v>399</v>
      </c>
      <c r="E362" s="215">
        <v>8</v>
      </c>
      <c r="F362" s="215" t="s">
        <v>651</v>
      </c>
      <c r="G362" s="119"/>
      <c r="H362" s="33" t="s">
        <v>303</v>
      </c>
      <c r="I362" s="135">
        <v>1.25</v>
      </c>
      <c r="J362" s="135" t="s">
        <v>44</v>
      </c>
      <c r="K362"/>
    </row>
    <row r="363" spans="1:11" hidden="1" x14ac:dyDescent="0.35">
      <c r="A363" s="219" t="s">
        <v>295</v>
      </c>
      <c r="B363" s="219" t="s">
        <v>652</v>
      </c>
      <c r="C363" s="219" t="s">
        <v>653</v>
      </c>
      <c r="D363" s="219" t="s">
        <v>399</v>
      </c>
      <c r="E363" s="219">
        <v>9</v>
      </c>
      <c r="F363" s="219" t="s">
        <v>651</v>
      </c>
      <c r="G363" s="125"/>
      <c r="H363" s="114"/>
      <c r="I363" s="114"/>
      <c r="J363" s="114"/>
      <c r="K363" s="114"/>
    </row>
    <row r="364" spans="1:11" hidden="1" x14ac:dyDescent="0.35">
      <c r="A364" s="215" t="s">
        <v>295</v>
      </c>
      <c r="B364" s="215" t="s">
        <v>652</v>
      </c>
      <c r="C364" s="215" t="s">
        <v>653</v>
      </c>
      <c r="D364" s="215" t="s">
        <v>399</v>
      </c>
      <c r="E364" s="215">
        <v>10</v>
      </c>
      <c r="F364" s="215" t="s">
        <v>651</v>
      </c>
      <c r="G364" s="119"/>
      <c r="H364" s="204" t="s">
        <v>399</v>
      </c>
      <c r="I364" s="204" t="s">
        <v>604</v>
      </c>
    </row>
    <row r="365" spans="1:11" hidden="1" x14ac:dyDescent="0.35">
      <c r="A365" s="215" t="s">
        <v>295</v>
      </c>
      <c r="B365" s="215" t="s">
        <v>652</v>
      </c>
      <c r="C365" s="215" t="s">
        <v>653</v>
      </c>
      <c r="D365" s="215" t="s">
        <v>399</v>
      </c>
      <c r="E365" s="215">
        <v>11</v>
      </c>
      <c r="F365" s="215" t="s">
        <v>651</v>
      </c>
      <c r="G365" s="119"/>
      <c r="H365" t="s">
        <v>535</v>
      </c>
      <c r="I365" s="204" t="s">
        <v>655</v>
      </c>
    </row>
    <row r="366" spans="1:11" hidden="1" x14ac:dyDescent="0.35">
      <c r="A366" s="215" t="s">
        <v>295</v>
      </c>
      <c r="B366" s="215" t="s">
        <v>652</v>
      </c>
      <c r="C366" s="215" t="s">
        <v>653</v>
      </c>
      <c r="D366" s="215" t="s">
        <v>399</v>
      </c>
      <c r="E366" s="215">
        <v>12</v>
      </c>
      <c r="F366" s="215" t="s">
        <v>651</v>
      </c>
      <c r="G366" s="119"/>
      <c r="H366" s="139" t="s">
        <v>300</v>
      </c>
      <c r="I366" s="140" t="s">
        <v>541</v>
      </c>
      <c r="J366" s="140" t="s">
        <v>302</v>
      </c>
      <c r="K366" s="141" t="s">
        <v>542</v>
      </c>
    </row>
    <row r="367" spans="1:11" hidden="1" x14ac:dyDescent="0.35">
      <c r="A367" s="215" t="s">
        <v>295</v>
      </c>
      <c r="B367" s="215" t="s">
        <v>652</v>
      </c>
      <c r="C367" s="215" t="s">
        <v>653</v>
      </c>
      <c r="D367" s="215" t="s">
        <v>399</v>
      </c>
      <c r="E367" s="215">
        <v>13</v>
      </c>
      <c r="F367" s="215" t="s">
        <v>651</v>
      </c>
      <c r="G367" s="119"/>
      <c r="H367" s="50" t="s">
        <v>285</v>
      </c>
      <c r="I367" s="134">
        <v>18</v>
      </c>
      <c r="J367" s="134">
        <v>11.88</v>
      </c>
      <c r="K367" s="149">
        <f>VLOOKUP(ROUND(J367,0),Fuel1.2RatioWholeNumbers[],1,TRUE)</f>
        <v>10</v>
      </c>
    </row>
    <row r="368" spans="1:11" hidden="1" x14ac:dyDescent="0.35">
      <c r="A368" s="215" t="s">
        <v>295</v>
      </c>
      <c r="B368" s="215" t="s">
        <v>652</v>
      </c>
      <c r="C368" s="215" t="s">
        <v>653</v>
      </c>
      <c r="D368" s="215" t="s">
        <v>399</v>
      </c>
      <c r="E368" s="215">
        <v>14</v>
      </c>
      <c r="F368" s="215" t="s">
        <v>651</v>
      </c>
      <c r="G368" s="119"/>
      <c r="H368" s="62" t="s">
        <v>288</v>
      </c>
      <c r="I368" s="72">
        <v>22</v>
      </c>
      <c r="J368" s="72">
        <v>14.520000000000001</v>
      </c>
      <c r="K368" s="159">
        <f>K367*1.2</f>
        <v>12</v>
      </c>
    </row>
    <row r="369" spans="1:11" ht="15" hidden="1" customHeight="1" x14ac:dyDescent="0.35">
      <c r="A369" s="215" t="s">
        <v>295</v>
      </c>
      <c r="B369" s="215" t="s">
        <v>652</v>
      </c>
      <c r="C369" s="215" t="s">
        <v>653</v>
      </c>
      <c r="D369" s="215" t="s">
        <v>399</v>
      </c>
      <c r="E369" s="215">
        <v>15</v>
      </c>
      <c r="F369" s="215" t="s">
        <v>651</v>
      </c>
      <c r="G369" s="119"/>
      <c r="H369" s="50" t="s">
        <v>88</v>
      </c>
      <c r="I369" s="134">
        <v>70</v>
      </c>
      <c r="J369" s="134">
        <f>I369*I371</f>
        <v>14</v>
      </c>
      <c r="K369" s="149">
        <f>J369</f>
        <v>14</v>
      </c>
    </row>
    <row r="370" spans="1:11" hidden="1" x14ac:dyDescent="0.35">
      <c r="A370" s="215" t="s">
        <v>295</v>
      </c>
      <c r="B370" s="215" t="s">
        <v>652</v>
      </c>
      <c r="C370" s="215" t="s">
        <v>653</v>
      </c>
      <c r="D370" s="215" t="s">
        <v>399</v>
      </c>
      <c r="E370" s="215">
        <v>16</v>
      </c>
      <c r="F370" s="215" t="s">
        <v>651</v>
      </c>
      <c r="G370" s="125"/>
      <c r="H370" s="62" t="s">
        <v>89</v>
      </c>
      <c r="I370" s="72">
        <v>0.25</v>
      </c>
      <c r="J370" s="72">
        <f>IF(J371="1.25m",($I370*I371)-(SUM(QuadCoreMass,CS125Mass)*I371),$I370*I371)</f>
        <v>0.05</v>
      </c>
      <c r="K370" s="150">
        <f>J370</f>
        <v>0.05</v>
      </c>
    </row>
    <row r="371" spans="1:11" hidden="1" x14ac:dyDescent="0.35">
      <c r="A371" s="215" t="s">
        <v>295</v>
      </c>
      <c r="B371" s="215" t="s">
        <v>652</v>
      </c>
      <c r="C371" s="215" t="s">
        <v>653</v>
      </c>
      <c r="D371" s="215" t="s">
        <v>399</v>
      </c>
      <c r="E371" s="215">
        <v>17</v>
      </c>
      <c r="F371" s="215" t="s">
        <v>651</v>
      </c>
      <c r="G371" s="119"/>
      <c r="H371" s="230" t="s">
        <v>303</v>
      </c>
      <c r="I371" s="135">
        <v>0.2</v>
      </c>
      <c r="J371" s="135" t="s">
        <v>44</v>
      </c>
      <c r="K371" s="134"/>
    </row>
    <row r="372" spans="1:11" hidden="1" x14ac:dyDescent="0.35">
      <c r="A372" s="215" t="s">
        <v>295</v>
      </c>
      <c r="B372" s="215" t="s">
        <v>652</v>
      </c>
      <c r="C372" s="215" t="s">
        <v>653</v>
      </c>
      <c r="D372" s="215" t="s">
        <v>399</v>
      </c>
      <c r="E372" s="215">
        <v>18</v>
      </c>
      <c r="F372" s="215" t="s">
        <v>651</v>
      </c>
      <c r="G372" s="119"/>
      <c r="I372" s="114"/>
      <c r="J372" s="114"/>
    </row>
    <row r="373" spans="1:11" hidden="1" x14ac:dyDescent="0.35">
      <c r="A373" s="219" t="s">
        <v>295</v>
      </c>
      <c r="B373" s="219" t="s">
        <v>652</v>
      </c>
      <c r="C373" s="219" t="s">
        <v>653</v>
      </c>
      <c r="D373" s="219" t="s">
        <v>399</v>
      </c>
      <c r="E373" s="219">
        <v>19</v>
      </c>
      <c r="F373" s="219" t="s">
        <v>651</v>
      </c>
      <c r="G373" s="125"/>
      <c r="H373" s="114" t="s">
        <v>399</v>
      </c>
      <c r="I373" s="114" t="s">
        <v>315</v>
      </c>
      <c r="J373" s="114"/>
      <c r="K373" s="114"/>
    </row>
    <row r="374" spans="1:11" hidden="1" x14ac:dyDescent="0.35">
      <c r="A374" s="219" t="s">
        <v>295</v>
      </c>
      <c r="B374" s="219" t="s">
        <v>652</v>
      </c>
      <c r="C374" s="219" t="s">
        <v>653</v>
      </c>
      <c r="D374" s="219" t="s">
        <v>399</v>
      </c>
      <c r="E374" s="219">
        <v>20</v>
      </c>
      <c r="F374" s="219" t="s">
        <v>651</v>
      </c>
      <c r="G374" s="125"/>
      <c r="H374" s="134" t="s">
        <v>535</v>
      </c>
      <c r="I374" s="114" t="s">
        <v>656</v>
      </c>
      <c r="J374" s="114"/>
      <c r="K374" s="114"/>
    </row>
    <row r="375" spans="1:11" hidden="1" x14ac:dyDescent="0.35">
      <c r="A375" s="215" t="s">
        <v>295</v>
      </c>
      <c r="B375" s="215" t="s">
        <v>652</v>
      </c>
      <c r="C375" s="215" t="s">
        <v>653</v>
      </c>
      <c r="D375" s="215" t="s">
        <v>399</v>
      </c>
      <c r="E375" s="215">
        <v>21</v>
      </c>
      <c r="F375" s="215" t="s">
        <v>651</v>
      </c>
      <c r="G375" s="119"/>
      <c r="H375" s="139" t="s">
        <v>300</v>
      </c>
      <c r="I375" s="140" t="s">
        <v>541</v>
      </c>
      <c r="J375" s="140" t="s">
        <v>302</v>
      </c>
      <c r="K375" s="141" t="s">
        <v>542</v>
      </c>
    </row>
    <row r="376" spans="1:11" hidden="1" x14ac:dyDescent="0.35">
      <c r="A376" s="215" t="s">
        <v>295</v>
      </c>
      <c r="B376" s="215" t="s">
        <v>652</v>
      </c>
      <c r="C376" s="215" t="s">
        <v>653</v>
      </c>
      <c r="D376" s="215" t="s">
        <v>399</v>
      </c>
      <c r="E376" s="215">
        <v>22</v>
      </c>
      <c r="F376" s="215" t="s">
        <v>651</v>
      </c>
      <c r="G376" s="119"/>
      <c r="H376" s="62" t="s">
        <v>286</v>
      </c>
      <c r="I376" s="72">
        <v>20</v>
      </c>
      <c r="J376" s="72">
        <v>13.200000000000001</v>
      </c>
      <c r="K376" s="155">
        <f>J376</f>
        <v>13.200000000000001</v>
      </c>
    </row>
    <row r="377" spans="1:11" hidden="1" x14ac:dyDescent="0.35">
      <c r="A377" s="215" t="s">
        <v>295</v>
      </c>
      <c r="B377" s="215" t="s">
        <v>652</v>
      </c>
      <c r="C377" s="215" t="s">
        <v>653</v>
      </c>
      <c r="D377" s="215" t="s">
        <v>399</v>
      </c>
      <c r="E377" s="215">
        <v>23</v>
      </c>
      <c r="F377" s="215" t="s">
        <v>651</v>
      </c>
      <c r="G377" s="119"/>
      <c r="H377" s="50" t="s">
        <v>88</v>
      </c>
      <c r="I377" s="134">
        <v>330</v>
      </c>
      <c r="J377" s="134">
        <f>I377*I379</f>
        <v>165</v>
      </c>
      <c r="K377" s="149">
        <f>J377</f>
        <v>165</v>
      </c>
    </row>
    <row r="378" spans="1:11" hidden="1" x14ac:dyDescent="0.35">
      <c r="A378" s="215" t="s">
        <v>295</v>
      </c>
      <c r="B378" s="215" t="s">
        <v>652</v>
      </c>
      <c r="C378" s="215" t="s">
        <v>653</v>
      </c>
      <c r="D378" s="215" t="s">
        <v>399</v>
      </c>
      <c r="E378" s="215">
        <v>24</v>
      </c>
      <c r="F378" s="215" t="s">
        <v>651</v>
      </c>
      <c r="G378" s="119"/>
      <c r="H378" s="62" t="s">
        <v>89</v>
      </c>
      <c r="I378" s="72">
        <v>0.08</v>
      </c>
      <c r="J378" s="72">
        <f>IF(J379="1.25m",($I378*I379)-(SUM(QuadCoreMass,CS125Mass)*I379),$I378*I379)</f>
        <v>0.04</v>
      </c>
      <c r="K378" s="150">
        <f>J378</f>
        <v>0.04</v>
      </c>
    </row>
    <row r="379" spans="1:11" hidden="1" x14ac:dyDescent="0.35">
      <c r="A379" s="215" t="s">
        <v>295</v>
      </c>
      <c r="B379" s="215" t="s">
        <v>652</v>
      </c>
      <c r="C379" s="215" t="s">
        <v>653</v>
      </c>
      <c r="D379" s="215" t="s">
        <v>399</v>
      </c>
      <c r="E379" s="215">
        <v>25</v>
      </c>
      <c r="F379" s="215" t="s">
        <v>651</v>
      </c>
      <c r="G379" s="119"/>
      <c r="H379" s="230" t="s">
        <v>303</v>
      </c>
      <c r="I379" s="135">
        <v>0.5</v>
      </c>
      <c r="J379" s="135" t="s">
        <v>44</v>
      </c>
      <c r="K379" s="134"/>
    </row>
    <row r="380" spans="1:11" hidden="1" x14ac:dyDescent="0.35">
      <c r="A380" s="215" t="s">
        <v>295</v>
      </c>
      <c r="B380" s="215" t="s">
        <v>652</v>
      </c>
      <c r="C380" s="215" t="s">
        <v>653</v>
      </c>
      <c r="D380" s="215" t="s">
        <v>399</v>
      </c>
      <c r="E380" s="215">
        <v>26</v>
      </c>
      <c r="F380" s="215" t="s">
        <v>651</v>
      </c>
      <c r="G380" s="119"/>
      <c r="H380" s="114"/>
      <c r="I380" s="114"/>
      <c r="J380" s="114"/>
      <c r="K380" s="114"/>
    </row>
    <row r="381" spans="1:11" hidden="1" x14ac:dyDescent="0.35">
      <c r="A381" s="215" t="s">
        <v>295</v>
      </c>
      <c r="B381" s="215" t="s">
        <v>652</v>
      </c>
      <c r="C381" s="215" t="s">
        <v>653</v>
      </c>
      <c r="D381" s="215" t="s">
        <v>399</v>
      </c>
      <c r="E381" s="215">
        <v>27</v>
      </c>
      <c r="F381" s="215" t="s">
        <v>651</v>
      </c>
      <c r="G381" s="119"/>
      <c r="H381" s="204" t="s">
        <v>399</v>
      </c>
      <c r="I381" s="204" t="s">
        <v>482</v>
      </c>
    </row>
    <row r="382" spans="1:11" hidden="1" x14ac:dyDescent="0.35">
      <c r="A382" s="215" t="s">
        <v>295</v>
      </c>
      <c r="B382" s="215" t="s">
        <v>652</v>
      </c>
      <c r="C382" s="215" t="s">
        <v>653</v>
      </c>
      <c r="D382" s="215" t="s">
        <v>399</v>
      </c>
      <c r="E382" s="215">
        <v>28</v>
      </c>
      <c r="F382" s="215" t="s">
        <v>651</v>
      </c>
      <c r="G382" s="119"/>
      <c r="H382" t="s">
        <v>535</v>
      </c>
      <c r="I382" s="204" t="s">
        <v>657</v>
      </c>
    </row>
    <row r="383" spans="1:11" hidden="1" x14ac:dyDescent="0.35">
      <c r="A383" s="219" t="s">
        <v>295</v>
      </c>
      <c r="B383" s="219" t="s">
        <v>652</v>
      </c>
      <c r="C383" s="219" t="s">
        <v>653</v>
      </c>
      <c r="D383" s="219" t="s">
        <v>399</v>
      </c>
      <c r="E383" s="219">
        <v>29</v>
      </c>
      <c r="F383" s="219" t="s">
        <v>651</v>
      </c>
      <c r="G383" s="125"/>
      <c r="H383" s="139" t="s">
        <v>300</v>
      </c>
      <c r="I383" s="140" t="s">
        <v>541</v>
      </c>
      <c r="J383" s="140" t="s">
        <v>302</v>
      </c>
      <c r="K383" s="141" t="s">
        <v>542</v>
      </c>
    </row>
    <row r="384" spans="1:11" hidden="1" x14ac:dyDescent="0.35">
      <c r="A384" s="219" t="s">
        <v>295</v>
      </c>
      <c r="B384" s="219" t="s">
        <v>652</v>
      </c>
      <c r="C384" s="219" t="s">
        <v>653</v>
      </c>
      <c r="D384" s="219" t="s">
        <v>399</v>
      </c>
      <c r="E384" s="219">
        <v>30</v>
      </c>
      <c r="F384" s="219" t="s">
        <v>651</v>
      </c>
      <c r="G384" s="125"/>
      <c r="H384" s="62" t="s">
        <v>290</v>
      </c>
      <c r="I384" s="72">
        <v>720</v>
      </c>
      <c r="J384" s="72">
        <v>475.20000000000005</v>
      </c>
      <c r="K384" s="155">
        <f>J384</f>
        <v>475.20000000000005</v>
      </c>
    </row>
    <row r="385" spans="1:11" hidden="1" x14ac:dyDescent="0.35">
      <c r="A385" s="215" t="s">
        <v>295</v>
      </c>
      <c r="B385" s="215" t="s">
        <v>652</v>
      </c>
      <c r="C385" s="215" t="s">
        <v>653</v>
      </c>
      <c r="D385" s="215" t="s">
        <v>399</v>
      </c>
      <c r="E385" s="215">
        <v>31</v>
      </c>
      <c r="F385" s="215" t="s">
        <v>651</v>
      </c>
      <c r="G385" s="119"/>
      <c r="H385" s="50" t="s">
        <v>88</v>
      </c>
      <c r="I385" s="134">
        <v>3680</v>
      </c>
      <c r="J385" s="134">
        <f>I385*I387</f>
        <v>1840</v>
      </c>
      <c r="K385" s="149">
        <f>J385</f>
        <v>1840</v>
      </c>
    </row>
    <row r="386" spans="1:11" ht="15" hidden="1" customHeight="1" x14ac:dyDescent="0.35">
      <c r="A386" s="215" t="s">
        <v>295</v>
      </c>
      <c r="B386" s="215" t="s">
        <v>652</v>
      </c>
      <c r="C386" s="215" t="s">
        <v>653</v>
      </c>
      <c r="D386" s="215" t="s">
        <v>399</v>
      </c>
      <c r="E386" s="215">
        <v>32</v>
      </c>
      <c r="F386" s="215" t="s">
        <v>651</v>
      </c>
      <c r="G386" s="119"/>
      <c r="H386" s="62" t="s">
        <v>89</v>
      </c>
      <c r="I386" s="72">
        <v>9.6000000000000002E-2</v>
      </c>
      <c r="J386" s="72">
        <f>IF(J387="1.25m",($I386*I387)-(SUM(QuadCoreMass,CS125Mass)*I387),$I386*I387)</f>
        <v>4.8000000000000001E-2</v>
      </c>
      <c r="K386" s="150">
        <f>J386</f>
        <v>4.8000000000000001E-2</v>
      </c>
    </row>
    <row r="387" spans="1:11" hidden="1" x14ac:dyDescent="0.35">
      <c r="A387" s="215" t="s">
        <v>295</v>
      </c>
      <c r="B387" s="215" t="s">
        <v>652</v>
      </c>
      <c r="C387" s="215" t="s">
        <v>653</v>
      </c>
      <c r="D387" s="215" t="s">
        <v>399</v>
      </c>
      <c r="E387" s="215">
        <v>33</v>
      </c>
      <c r="F387" s="215" t="s">
        <v>651</v>
      </c>
      <c r="G387" s="119"/>
      <c r="H387" s="33" t="s">
        <v>303</v>
      </c>
      <c r="I387" s="135">
        <v>0.5</v>
      </c>
      <c r="J387" s="135" t="s">
        <v>44</v>
      </c>
      <c r="K387"/>
    </row>
    <row r="388" spans="1:11" s="124" customFormat="1" ht="15" hidden="1" thickBot="1" x14ac:dyDescent="0.4">
      <c r="A388" s="216" t="s">
        <v>295</v>
      </c>
      <c r="B388" s="216" t="s">
        <v>652</v>
      </c>
      <c r="C388" s="216" t="s">
        <v>653</v>
      </c>
      <c r="D388" s="216" t="s">
        <v>399</v>
      </c>
      <c r="E388" s="216">
        <v>34</v>
      </c>
      <c r="F388" s="216" t="s">
        <v>651</v>
      </c>
      <c r="G388" s="123"/>
    </row>
    <row r="389" spans="1:11" ht="18.75" hidden="1" customHeight="1" x14ac:dyDescent="0.45">
      <c r="A389" s="215" t="s">
        <v>295</v>
      </c>
      <c r="B389" s="215" t="s">
        <v>658</v>
      </c>
      <c r="C389" s="215" t="s">
        <v>659</v>
      </c>
      <c r="D389" s="215" t="s">
        <v>399</v>
      </c>
      <c r="E389" s="215">
        <v>1</v>
      </c>
      <c r="F389" s="215" t="s">
        <v>651</v>
      </c>
      <c r="G389" s="119"/>
      <c r="H389" s="116" t="s">
        <v>660</v>
      </c>
      <c r="I389" s="116"/>
      <c r="J389" s="122"/>
      <c r="K389" s="122"/>
    </row>
    <row r="390" spans="1:11" hidden="1" x14ac:dyDescent="0.35">
      <c r="A390" s="215" t="s">
        <v>295</v>
      </c>
      <c r="B390" s="215" t="s">
        <v>658</v>
      </c>
      <c r="C390" s="215" t="s">
        <v>659</v>
      </c>
      <c r="D390" s="215" t="s">
        <v>399</v>
      </c>
      <c r="E390" s="215">
        <v>2</v>
      </c>
      <c r="F390" s="215" t="s">
        <v>651</v>
      </c>
      <c r="G390" s="119"/>
      <c r="H390" s="115" t="s">
        <v>535</v>
      </c>
      <c r="I390" s="115" t="s">
        <v>95</v>
      </c>
      <c r="J390" s="115"/>
      <c r="K390" s="115"/>
    </row>
    <row r="391" spans="1:11" hidden="1" x14ac:dyDescent="0.35">
      <c r="A391" s="215" t="s">
        <v>295</v>
      </c>
      <c r="B391" s="215" t="s">
        <v>658</v>
      </c>
      <c r="C391" s="215" t="s">
        <v>659</v>
      </c>
      <c r="D391" s="215" t="s">
        <v>399</v>
      </c>
      <c r="E391" s="215">
        <v>3</v>
      </c>
      <c r="F391" s="215" t="s">
        <v>651</v>
      </c>
      <c r="G391" s="119"/>
      <c r="H391" s="118" t="s">
        <v>537</v>
      </c>
      <c r="I391" s="115" t="s">
        <v>96</v>
      </c>
      <c r="J391" s="115" t="s">
        <v>539</v>
      </c>
      <c r="K391" s="115">
        <v>3800</v>
      </c>
    </row>
    <row r="392" spans="1:11" hidden="1" x14ac:dyDescent="0.35">
      <c r="A392" s="215" t="s">
        <v>295</v>
      </c>
      <c r="B392" s="215" t="s">
        <v>658</v>
      </c>
      <c r="C392" s="215" t="s">
        <v>659</v>
      </c>
      <c r="D392" s="215" t="s">
        <v>399</v>
      </c>
      <c r="E392" s="215">
        <v>4</v>
      </c>
      <c r="F392" s="215" t="s">
        <v>651</v>
      </c>
      <c r="G392" s="119"/>
      <c r="H392" s="100" t="s">
        <v>90</v>
      </c>
      <c r="I392" s="115">
        <v>2900</v>
      </c>
      <c r="J392" s="115" t="s">
        <v>540</v>
      </c>
      <c r="K392" s="115">
        <v>14</v>
      </c>
    </row>
    <row r="393" spans="1:11" hidden="1" x14ac:dyDescent="0.35">
      <c r="A393" s="215" t="s">
        <v>295</v>
      </c>
      <c r="B393" s="215" t="s">
        <v>658</v>
      </c>
      <c r="C393" s="215" t="s">
        <v>659</v>
      </c>
      <c r="D393" s="215" t="s">
        <v>399</v>
      </c>
      <c r="E393" s="215">
        <v>5</v>
      </c>
      <c r="F393" s="215" t="s">
        <v>651</v>
      </c>
      <c r="G393" s="119"/>
      <c r="H393" s="136" t="s">
        <v>300</v>
      </c>
      <c r="I393" s="137" t="s">
        <v>541</v>
      </c>
      <c r="J393" s="137" t="s">
        <v>302</v>
      </c>
      <c r="K393" s="138" t="s">
        <v>542</v>
      </c>
    </row>
    <row r="394" spans="1:11" hidden="1" x14ac:dyDescent="0.35">
      <c r="A394" s="215" t="s">
        <v>295</v>
      </c>
      <c r="B394" s="215" t="s">
        <v>658</v>
      </c>
      <c r="C394" s="215" t="s">
        <v>659</v>
      </c>
      <c r="D394" s="215" t="s">
        <v>399</v>
      </c>
      <c r="E394" s="215">
        <v>6</v>
      </c>
      <c r="F394" s="215" t="s">
        <v>651</v>
      </c>
      <c r="G394" s="119"/>
      <c r="H394" s="50" t="s">
        <v>88</v>
      </c>
      <c r="I394" s="160">
        <f>K351</f>
        <v>250</v>
      </c>
      <c r="J394" s="134">
        <f>I394*I396</f>
        <v>375</v>
      </c>
      <c r="K394" s="149">
        <f>J394</f>
        <v>375</v>
      </c>
    </row>
    <row r="395" spans="1:11" hidden="1" x14ac:dyDescent="0.35">
      <c r="A395" s="215" t="s">
        <v>295</v>
      </c>
      <c r="B395" s="215" t="s">
        <v>658</v>
      </c>
      <c r="C395" s="215" t="s">
        <v>659</v>
      </c>
      <c r="D395" s="215" t="s">
        <v>399</v>
      </c>
      <c r="E395" s="215">
        <v>7</v>
      </c>
      <c r="F395" s="215" t="s">
        <v>651</v>
      </c>
      <c r="G395" s="119"/>
      <c r="H395" s="62" t="s">
        <v>89</v>
      </c>
      <c r="I395" s="72">
        <f>QuadCoreMass</f>
        <v>0.05</v>
      </c>
      <c r="J395" s="72">
        <f>IF(J396="1.25m",($I395*I396)-(SUM(QuadCoreMass,CS125Mass)*I396),$I395*I396)</f>
        <v>7.5000000000000011E-2</v>
      </c>
      <c r="K395" s="150">
        <f>J395</f>
        <v>7.5000000000000011E-2</v>
      </c>
    </row>
    <row r="396" spans="1:11" hidden="1" x14ac:dyDescent="0.35">
      <c r="A396" s="215" t="s">
        <v>295</v>
      </c>
      <c r="B396" s="215" t="s">
        <v>658</v>
      </c>
      <c r="C396" s="215" t="s">
        <v>659</v>
      </c>
      <c r="D396" s="215" t="s">
        <v>399</v>
      </c>
      <c r="E396" s="215">
        <v>8</v>
      </c>
      <c r="F396" s="215" t="s">
        <v>651</v>
      </c>
      <c r="G396" s="119"/>
      <c r="H396" s="230" t="s">
        <v>303</v>
      </c>
      <c r="I396" s="135">
        <v>1.5</v>
      </c>
      <c r="J396" s="135" t="s">
        <v>44</v>
      </c>
      <c r="K396" s="134"/>
    </row>
    <row r="397" spans="1:11" hidden="1" x14ac:dyDescent="0.35">
      <c r="A397" s="215" t="s">
        <v>295</v>
      </c>
      <c r="B397" s="215" t="s">
        <v>658</v>
      </c>
      <c r="C397" s="215" t="s">
        <v>659</v>
      </c>
      <c r="D397" s="215" t="s">
        <v>399</v>
      </c>
      <c r="E397" s="215">
        <v>9</v>
      </c>
      <c r="F397" s="215" t="s">
        <v>651</v>
      </c>
      <c r="G397" s="119"/>
      <c r="H397" s="114"/>
      <c r="K397" s="114"/>
    </row>
    <row r="398" spans="1:11" hidden="1" x14ac:dyDescent="0.35">
      <c r="A398" s="215" t="s">
        <v>295</v>
      </c>
      <c r="B398" s="215" t="s">
        <v>658</v>
      </c>
      <c r="C398" s="215" t="s">
        <v>659</v>
      </c>
      <c r="D398" s="215" t="s">
        <v>399</v>
      </c>
      <c r="E398" s="215">
        <v>10</v>
      </c>
      <c r="F398" s="215" t="s">
        <v>651</v>
      </c>
      <c r="G398" s="119"/>
      <c r="H398" s="114" t="s">
        <v>399</v>
      </c>
      <c r="I398" s="204" t="s">
        <v>604</v>
      </c>
      <c r="K398" s="114"/>
    </row>
    <row r="399" spans="1:11" hidden="1" x14ac:dyDescent="0.35">
      <c r="A399" s="215" t="s">
        <v>295</v>
      </c>
      <c r="B399" s="215" t="s">
        <v>658</v>
      </c>
      <c r="C399" s="215" t="s">
        <v>659</v>
      </c>
      <c r="D399" s="215" t="s">
        <v>399</v>
      </c>
      <c r="E399" s="215">
        <v>11</v>
      </c>
      <c r="F399" s="215" t="s">
        <v>651</v>
      </c>
      <c r="G399" s="125"/>
      <c r="H399" s="134" t="s">
        <v>535</v>
      </c>
      <c r="I399" s="114" t="s">
        <v>655</v>
      </c>
      <c r="J399" s="114"/>
      <c r="K399" s="114"/>
    </row>
    <row r="400" spans="1:11" hidden="1" x14ac:dyDescent="0.35">
      <c r="A400" s="215" t="s">
        <v>295</v>
      </c>
      <c r="B400" s="215" t="s">
        <v>658</v>
      </c>
      <c r="C400" s="215" t="s">
        <v>659</v>
      </c>
      <c r="D400" s="215" t="s">
        <v>399</v>
      </c>
      <c r="E400" s="215">
        <v>12</v>
      </c>
      <c r="F400" s="215" t="s">
        <v>651</v>
      </c>
      <c r="G400" s="119"/>
      <c r="H400" s="139" t="s">
        <v>300</v>
      </c>
      <c r="I400" s="140" t="s">
        <v>541</v>
      </c>
      <c r="J400" s="140" t="s">
        <v>302</v>
      </c>
      <c r="K400" s="141" t="s">
        <v>542</v>
      </c>
    </row>
    <row r="401" spans="1:11" hidden="1" x14ac:dyDescent="0.35">
      <c r="A401" s="219" t="s">
        <v>295</v>
      </c>
      <c r="B401" s="219" t="s">
        <v>658</v>
      </c>
      <c r="C401" s="219" t="s">
        <v>659</v>
      </c>
      <c r="D401" s="219" t="s">
        <v>399</v>
      </c>
      <c r="E401" s="219">
        <v>13</v>
      </c>
      <c r="F401" s="219" t="s">
        <v>651</v>
      </c>
      <c r="G401" s="125"/>
      <c r="H401" s="50" t="s">
        <v>285</v>
      </c>
      <c r="I401" s="134">
        <v>18</v>
      </c>
      <c r="J401" s="134">
        <v>19.8</v>
      </c>
      <c r="K401" s="149">
        <f>VLOOKUP(ROUND(J401,0),Fuel1.2RatioWholeNumbers[],1,TRUE)</f>
        <v>20</v>
      </c>
    </row>
    <row r="402" spans="1:11" hidden="1" x14ac:dyDescent="0.35">
      <c r="A402" s="215" t="s">
        <v>295</v>
      </c>
      <c r="B402" s="215" t="s">
        <v>658</v>
      </c>
      <c r="C402" s="215" t="s">
        <v>659</v>
      </c>
      <c r="D402" s="215" t="s">
        <v>399</v>
      </c>
      <c r="E402" s="215">
        <v>14</v>
      </c>
      <c r="F402" s="215" t="s">
        <v>651</v>
      </c>
      <c r="G402" s="119"/>
      <c r="H402" s="62" t="s">
        <v>288</v>
      </c>
      <c r="I402" s="72">
        <v>22</v>
      </c>
      <c r="J402" s="72">
        <v>24.200000000000003</v>
      </c>
      <c r="K402" s="159">
        <f>K401*1.2</f>
        <v>24</v>
      </c>
    </row>
    <row r="403" spans="1:11" hidden="1" x14ac:dyDescent="0.35">
      <c r="A403" s="215" t="s">
        <v>295</v>
      </c>
      <c r="B403" s="215" t="s">
        <v>658</v>
      </c>
      <c r="C403" s="215" t="s">
        <v>659</v>
      </c>
      <c r="D403" s="215" t="s">
        <v>399</v>
      </c>
      <c r="E403" s="215">
        <v>15</v>
      </c>
      <c r="F403" s="215" t="s">
        <v>651</v>
      </c>
      <c r="G403" s="119"/>
      <c r="H403" s="50" t="s">
        <v>88</v>
      </c>
      <c r="I403" s="134">
        <v>70</v>
      </c>
      <c r="J403" s="134">
        <f>I403*I405</f>
        <v>87.5</v>
      </c>
      <c r="K403" s="149">
        <f>J403</f>
        <v>87.5</v>
      </c>
    </row>
    <row r="404" spans="1:11" hidden="1" x14ac:dyDescent="0.35">
      <c r="A404" s="215" t="s">
        <v>295</v>
      </c>
      <c r="B404" s="215" t="s">
        <v>658</v>
      </c>
      <c r="C404" s="215" t="s">
        <v>659</v>
      </c>
      <c r="D404" s="215" t="s">
        <v>399</v>
      </c>
      <c r="E404" s="215">
        <v>16</v>
      </c>
      <c r="F404" s="215" t="s">
        <v>651</v>
      </c>
      <c r="G404" s="119"/>
      <c r="H404" s="62" t="s">
        <v>89</v>
      </c>
      <c r="I404" s="72">
        <v>0.25</v>
      </c>
      <c r="J404" s="72">
        <f>IF(J405="1.25m",($I404*I405)-(SUM(QuadCoreMass,CS125Mass)*I405),$I404*I405)</f>
        <v>0.3125</v>
      </c>
      <c r="K404" s="150">
        <f>J404</f>
        <v>0.3125</v>
      </c>
    </row>
    <row r="405" spans="1:11" hidden="1" x14ac:dyDescent="0.35">
      <c r="A405" s="215" t="s">
        <v>295</v>
      </c>
      <c r="B405" s="215" t="s">
        <v>658</v>
      </c>
      <c r="C405" s="215" t="s">
        <v>659</v>
      </c>
      <c r="D405" s="215" t="s">
        <v>399</v>
      </c>
      <c r="E405" s="215">
        <v>17</v>
      </c>
      <c r="F405" s="215" t="s">
        <v>651</v>
      </c>
      <c r="G405" s="119"/>
      <c r="H405" s="33" t="s">
        <v>303</v>
      </c>
      <c r="I405" s="135">
        <v>1.25</v>
      </c>
      <c r="J405" s="135" t="s">
        <v>44</v>
      </c>
      <c r="K405"/>
    </row>
    <row r="406" spans="1:11" hidden="1" x14ac:dyDescent="0.35">
      <c r="A406" s="215" t="s">
        <v>295</v>
      </c>
      <c r="B406" s="215" t="s">
        <v>658</v>
      </c>
      <c r="C406" s="215" t="s">
        <v>659</v>
      </c>
      <c r="D406" s="215" t="s">
        <v>399</v>
      </c>
      <c r="E406" s="215">
        <v>18</v>
      </c>
      <c r="F406" s="215" t="s">
        <v>651</v>
      </c>
      <c r="G406" s="119"/>
    </row>
    <row r="407" spans="1:11" hidden="1" x14ac:dyDescent="0.35">
      <c r="A407" s="215" t="s">
        <v>295</v>
      </c>
      <c r="B407" s="215" t="s">
        <v>658</v>
      </c>
      <c r="C407" s="215" t="s">
        <v>659</v>
      </c>
      <c r="D407" s="215" t="s">
        <v>399</v>
      </c>
      <c r="E407" s="215">
        <v>19</v>
      </c>
      <c r="F407" s="215" t="s">
        <v>651</v>
      </c>
      <c r="G407" s="119"/>
      <c r="H407" s="204" t="s">
        <v>399</v>
      </c>
      <c r="I407" s="204" t="s">
        <v>315</v>
      </c>
    </row>
    <row r="408" spans="1:11" hidden="1" x14ac:dyDescent="0.35">
      <c r="A408" s="215" t="s">
        <v>295</v>
      </c>
      <c r="B408" s="215" t="s">
        <v>658</v>
      </c>
      <c r="C408" s="215" t="s">
        <v>659</v>
      </c>
      <c r="D408" s="215" t="s">
        <v>399</v>
      </c>
      <c r="E408" s="215">
        <v>20</v>
      </c>
      <c r="F408" s="215" t="s">
        <v>651</v>
      </c>
      <c r="G408" s="119"/>
      <c r="H408" t="s">
        <v>535</v>
      </c>
      <c r="I408" s="204" t="s">
        <v>656</v>
      </c>
    </row>
    <row r="409" spans="1:11" hidden="1" x14ac:dyDescent="0.35">
      <c r="A409" s="215" t="s">
        <v>295</v>
      </c>
      <c r="B409" s="215" t="s">
        <v>658</v>
      </c>
      <c r="C409" s="215" t="s">
        <v>659</v>
      </c>
      <c r="D409" s="215" t="s">
        <v>399</v>
      </c>
      <c r="E409" s="215">
        <v>21</v>
      </c>
      <c r="F409" s="215" t="s">
        <v>651</v>
      </c>
      <c r="G409" s="119"/>
      <c r="H409" s="139" t="s">
        <v>300</v>
      </c>
      <c r="I409" s="140" t="s">
        <v>541</v>
      </c>
      <c r="J409" s="140" t="s">
        <v>302</v>
      </c>
      <c r="K409" s="141" t="s">
        <v>542</v>
      </c>
    </row>
    <row r="410" spans="1:11" hidden="1" x14ac:dyDescent="0.35">
      <c r="A410" s="215" t="s">
        <v>295</v>
      </c>
      <c r="B410" s="215" t="s">
        <v>658</v>
      </c>
      <c r="C410" s="215" t="s">
        <v>659</v>
      </c>
      <c r="D410" s="215" t="s">
        <v>399</v>
      </c>
      <c r="E410" s="215">
        <v>22</v>
      </c>
      <c r="F410" s="215" t="s">
        <v>651</v>
      </c>
      <c r="G410" s="119"/>
      <c r="H410" s="62" t="s">
        <v>286</v>
      </c>
      <c r="I410" s="72">
        <v>20</v>
      </c>
      <c r="J410" s="72">
        <v>22</v>
      </c>
      <c r="K410" s="155">
        <f>J410</f>
        <v>22</v>
      </c>
    </row>
    <row r="411" spans="1:11" hidden="1" x14ac:dyDescent="0.35">
      <c r="A411" s="219" t="s">
        <v>295</v>
      </c>
      <c r="B411" s="219" t="s">
        <v>658</v>
      </c>
      <c r="C411" s="219" t="s">
        <v>659</v>
      </c>
      <c r="D411" s="219" t="s">
        <v>399</v>
      </c>
      <c r="E411" s="219">
        <v>23</v>
      </c>
      <c r="F411" s="219" t="s">
        <v>651</v>
      </c>
      <c r="G411" s="125"/>
      <c r="H411" s="50" t="s">
        <v>88</v>
      </c>
      <c r="I411" s="134">
        <v>330</v>
      </c>
      <c r="J411" s="134">
        <f>I411*I413</f>
        <v>412.5</v>
      </c>
      <c r="K411" s="149">
        <f>J411</f>
        <v>412.5</v>
      </c>
    </row>
    <row r="412" spans="1:11" hidden="1" x14ac:dyDescent="0.35">
      <c r="A412" s="215" t="s">
        <v>295</v>
      </c>
      <c r="B412" s="215" t="s">
        <v>658</v>
      </c>
      <c r="C412" s="215" t="s">
        <v>659</v>
      </c>
      <c r="D412" s="215" t="s">
        <v>399</v>
      </c>
      <c r="E412" s="215">
        <v>24</v>
      </c>
      <c r="F412" s="215" t="s">
        <v>651</v>
      </c>
      <c r="G412" s="119"/>
      <c r="H412" s="62" t="s">
        <v>89</v>
      </c>
      <c r="I412" s="72">
        <v>0.08</v>
      </c>
      <c r="J412" s="72">
        <f>IF(J413="1.25m",($I412*I413)-(SUM(QuadCoreMass,CS125Mass)*I413),$I412*I413)</f>
        <v>0.1</v>
      </c>
      <c r="K412" s="150">
        <f>J412</f>
        <v>0.1</v>
      </c>
    </row>
    <row r="413" spans="1:11" hidden="1" x14ac:dyDescent="0.35">
      <c r="A413" s="215" t="s">
        <v>295</v>
      </c>
      <c r="B413" s="215" t="s">
        <v>658</v>
      </c>
      <c r="C413" s="215" t="s">
        <v>659</v>
      </c>
      <c r="D413" s="215" t="s">
        <v>399</v>
      </c>
      <c r="E413" s="215">
        <v>25</v>
      </c>
      <c r="F413" s="215" t="s">
        <v>651</v>
      </c>
      <c r="G413" s="119"/>
      <c r="H413" s="230" t="s">
        <v>303</v>
      </c>
      <c r="I413" s="135">
        <v>1.25</v>
      </c>
      <c r="J413" s="135" t="s">
        <v>44</v>
      </c>
      <c r="K413" s="134"/>
    </row>
    <row r="414" spans="1:11" hidden="1" x14ac:dyDescent="0.35">
      <c r="A414" s="215" t="s">
        <v>295</v>
      </c>
      <c r="B414" s="215" t="s">
        <v>658</v>
      </c>
      <c r="C414" s="215" t="s">
        <v>659</v>
      </c>
      <c r="D414" s="215" t="s">
        <v>399</v>
      </c>
      <c r="E414" s="215">
        <v>26</v>
      </c>
      <c r="F414" s="215" t="s">
        <v>651</v>
      </c>
      <c r="G414" s="119"/>
      <c r="I414" s="114"/>
      <c r="J414" s="114"/>
    </row>
    <row r="415" spans="1:11" hidden="1" x14ac:dyDescent="0.35">
      <c r="A415" s="215" t="s">
        <v>295</v>
      </c>
      <c r="B415" s="215" t="s">
        <v>658</v>
      </c>
      <c r="C415" s="215" t="s">
        <v>659</v>
      </c>
      <c r="D415" s="215" t="s">
        <v>399</v>
      </c>
      <c r="E415" s="215">
        <v>27</v>
      </c>
      <c r="F415" s="215" t="s">
        <v>651</v>
      </c>
      <c r="G415" s="119"/>
      <c r="H415" s="204" t="s">
        <v>399</v>
      </c>
      <c r="I415" s="204" t="s">
        <v>482</v>
      </c>
    </row>
    <row r="416" spans="1:11" hidden="1" x14ac:dyDescent="0.35">
      <c r="A416" s="219" t="s">
        <v>295</v>
      </c>
      <c r="B416" s="219" t="s">
        <v>658</v>
      </c>
      <c r="C416" s="219" t="s">
        <v>659</v>
      </c>
      <c r="D416" s="219" t="s">
        <v>399</v>
      </c>
      <c r="E416" s="219">
        <v>28</v>
      </c>
      <c r="F416" s="219" t="s">
        <v>651</v>
      </c>
      <c r="G416" s="125"/>
      <c r="H416" s="134" t="s">
        <v>535</v>
      </c>
      <c r="I416" s="114" t="s">
        <v>657</v>
      </c>
      <c r="J416" s="114"/>
      <c r="K416" s="114"/>
    </row>
    <row r="417" spans="1:11" hidden="1" x14ac:dyDescent="0.35">
      <c r="A417" s="215" t="s">
        <v>295</v>
      </c>
      <c r="B417" s="215" t="s">
        <v>658</v>
      </c>
      <c r="C417" s="215" t="s">
        <v>659</v>
      </c>
      <c r="D417" s="215" t="s">
        <v>399</v>
      </c>
      <c r="E417" s="215">
        <v>29</v>
      </c>
      <c r="F417" s="215" t="s">
        <v>651</v>
      </c>
      <c r="G417" s="119"/>
      <c r="H417" s="139" t="s">
        <v>300</v>
      </c>
      <c r="I417" s="140" t="s">
        <v>541</v>
      </c>
      <c r="J417" s="140" t="s">
        <v>302</v>
      </c>
      <c r="K417" s="141" t="s">
        <v>542</v>
      </c>
    </row>
    <row r="418" spans="1:11" hidden="1" x14ac:dyDescent="0.35">
      <c r="A418" s="215" t="s">
        <v>295</v>
      </c>
      <c r="B418" s="215" t="s">
        <v>658</v>
      </c>
      <c r="C418" s="215" t="s">
        <v>659</v>
      </c>
      <c r="D418" s="215" t="s">
        <v>399</v>
      </c>
      <c r="E418" s="215">
        <v>30</v>
      </c>
      <c r="F418" s="215" t="s">
        <v>651</v>
      </c>
      <c r="G418" s="119"/>
      <c r="H418" s="62" t="s">
        <v>290</v>
      </c>
      <c r="I418" s="72">
        <v>720</v>
      </c>
      <c r="J418" s="72">
        <v>792.00000000000011</v>
      </c>
      <c r="K418" s="155">
        <f>J418</f>
        <v>792.00000000000011</v>
      </c>
    </row>
    <row r="419" spans="1:11" hidden="1" x14ac:dyDescent="0.35">
      <c r="A419" s="215" t="s">
        <v>295</v>
      </c>
      <c r="B419" s="215" t="s">
        <v>658</v>
      </c>
      <c r="C419" s="215" t="s">
        <v>659</v>
      </c>
      <c r="D419" s="215" t="s">
        <v>399</v>
      </c>
      <c r="E419" s="215">
        <v>31</v>
      </c>
      <c r="F419" s="215" t="s">
        <v>651</v>
      </c>
      <c r="G419" s="119"/>
      <c r="H419" s="50" t="s">
        <v>88</v>
      </c>
      <c r="I419" s="134">
        <v>3680</v>
      </c>
      <c r="J419" s="134">
        <f>I419*I421</f>
        <v>4600</v>
      </c>
      <c r="K419" s="149">
        <f>J419</f>
        <v>4600</v>
      </c>
    </row>
    <row r="420" spans="1:11" ht="15" hidden="1" customHeight="1" x14ac:dyDescent="0.35">
      <c r="A420" s="215" t="s">
        <v>295</v>
      </c>
      <c r="B420" s="215" t="s">
        <v>658</v>
      </c>
      <c r="C420" s="215" t="s">
        <v>659</v>
      </c>
      <c r="D420" s="215" t="s">
        <v>399</v>
      </c>
      <c r="E420" s="215">
        <v>32</v>
      </c>
      <c r="F420" s="215" t="s">
        <v>651</v>
      </c>
      <c r="G420" s="119"/>
      <c r="H420" s="62" t="s">
        <v>89</v>
      </c>
      <c r="I420" s="72">
        <v>9.6000000000000002E-2</v>
      </c>
      <c r="J420" s="72">
        <f>IF(J421="1.25m",($I420*I421)-(SUM(QuadCoreMass,CS125Mass)*I421),$I420*I421)</f>
        <v>0.12</v>
      </c>
      <c r="K420" s="150">
        <f>J420</f>
        <v>0.12</v>
      </c>
    </row>
    <row r="421" spans="1:11" hidden="1" x14ac:dyDescent="0.35">
      <c r="A421" s="219" t="s">
        <v>295</v>
      </c>
      <c r="B421" s="219" t="s">
        <v>658</v>
      </c>
      <c r="C421" s="219" t="s">
        <v>659</v>
      </c>
      <c r="D421" s="219" t="s">
        <v>399</v>
      </c>
      <c r="E421" s="219">
        <v>33</v>
      </c>
      <c r="F421" s="219" t="s">
        <v>651</v>
      </c>
      <c r="G421" s="125"/>
      <c r="H421" s="230" t="s">
        <v>303</v>
      </c>
      <c r="I421" s="135">
        <v>1.25</v>
      </c>
      <c r="J421" s="135" t="s">
        <v>44</v>
      </c>
      <c r="K421" s="134"/>
    </row>
    <row r="422" spans="1:11" s="124" customFormat="1" ht="15" hidden="1" thickBot="1" x14ac:dyDescent="0.4">
      <c r="A422" s="216" t="s">
        <v>295</v>
      </c>
      <c r="B422" s="216" t="s">
        <v>658</v>
      </c>
      <c r="C422" s="216" t="s">
        <v>659</v>
      </c>
      <c r="D422" s="216" t="s">
        <v>399</v>
      </c>
      <c r="E422" s="216">
        <v>34</v>
      </c>
      <c r="F422" s="216" t="s">
        <v>651</v>
      </c>
      <c r="G422" s="123"/>
    </row>
    <row r="423" spans="1:11" ht="18.75" hidden="1" customHeight="1" x14ac:dyDescent="0.45">
      <c r="A423" s="215" t="s">
        <v>295</v>
      </c>
      <c r="B423" s="215" t="s">
        <v>661</v>
      </c>
      <c r="C423" s="215" t="s">
        <v>662</v>
      </c>
      <c r="D423" s="215" t="s">
        <v>399</v>
      </c>
      <c r="E423" s="215">
        <v>1</v>
      </c>
      <c r="F423" s="215" t="s">
        <v>651</v>
      </c>
      <c r="G423" s="119"/>
      <c r="H423" s="116" t="s">
        <v>663</v>
      </c>
      <c r="I423" s="116"/>
      <c r="J423" s="122"/>
      <c r="K423" s="122"/>
    </row>
    <row r="424" spans="1:11" hidden="1" x14ac:dyDescent="0.35">
      <c r="A424" s="215" t="s">
        <v>295</v>
      </c>
      <c r="B424" s="215" t="s">
        <v>661</v>
      </c>
      <c r="C424" s="215" t="s">
        <v>662</v>
      </c>
      <c r="D424" s="215" t="s">
        <v>399</v>
      </c>
      <c r="E424" s="215">
        <v>2</v>
      </c>
      <c r="F424" s="215" t="s">
        <v>651</v>
      </c>
      <c r="G424" s="119"/>
      <c r="H424" s="115" t="s">
        <v>535</v>
      </c>
      <c r="I424" s="115" t="s">
        <v>95</v>
      </c>
      <c r="J424" s="115"/>
      <c r="K424" s="115"/>
    </row>
    <row r="425" spans="1:11" hidden="1" x14ac:dyDescent="0.35">
      <c r="A425" s="215" t="s">
        <v>295</v>
      </c>
      <c r="B425" s="215" t="s">
        <v>661</v>
      </c>
      <c r="C425" s="215" t="s">
        <v>662</v>
      </c>
      <c r="D425" s="215" t="s">
        <v>399</v>
      </c>
      <c r="E425" s="215">
        <v>3</v>
      </c>
      <c r="F425" s="215" t="s">
        <v>651</v>
      </c>
      <c r="G425" s="119"/>
      <c r="H425" s="118" t="s">
        <v>537</v>
      </c>
      <c r="I425" s="115" t="s">
        <v>96</v>
      </c>
      <c r="J425" s="115" t="s">
        <v>539</v>
      </c>
      <c r="K425" s="100">
        <v>4000</v>
      </c>
    </row>
    <row r="426" spans="1:11" hidden="1" x14ac:dyDescent="0.35">
      <c r="A426" s="215" t="s">
        <v>295</v>
      </c>
      <c r="B426" s="215" t="s">
        <v>661</v>
      </c>
      <c r="C426" s="215" t="s">
        <v>662</v>
      </c>
      <c r="D426" s="215" t="s">
        <v>399</v>
      </c>
      <c r="E426" s="215">
        <v>4</v>
      </c>
      <c r="F426" s="215" t="s">
        <v>651</v>
      </c>
      <c r="G426" s="119"/>
      <c r="H426" s="100" t="s">
        <v>90</v>
      </c>
      <c r="I426" s="115">
        <v>2900</v>
      </c>
      <c r="J426" s="115" t="s">
        <v>540</v>
      </c>
      <c r="K426" s="115">
        <v>14</v>
      </c>
    </row>
    <row r="427" spans="1:11" hidden="1" x14ac:dyDescent="0.35">
      <c r="A427" s="215" t="s">
        <v>295</v>
      </c>
      <c r="B427" s="215" t="s">
        <v>661</v>
      </c>
      <c r="C427" s="215" t="s">
        <v>662</v>
      </c>
      <c r="D427" s="215" t="s">
        <v>399</v>
      </c>
      <c r="E427" s="215">
        <v>5</v>
      </c>
      <c r="F427" s="215" t="s">
        <v>651</v>
      </c>
      <c r="G427" s="119"/>
      <c r="H427" s="136" t="s">
        <v>300</v>
      </c>
      <c r="I427" s="137" t="s">
        <v>541</v>
      </c>
      <c r="J427" s="137" t="s">
        <v>302</v>
      </c>
      <c r="K427" s="138" t="s">
        <v>542</v>
      </c>
    </row>
    <row r="428" spans="1:11" hidden="1" x14ac:dyDescent="0.35">
      <c r="A428" s="215" t="s">
        <v>295</v>
      </c>
      <c r="B428" s="215" t="s">
        <v>661</v>
      </c>
      <c r="C428" s="215" t="s">
        <v>662</v>
      </c>
      <c r="D428" s="215" t="s">
        <v>399</v>
      </c>
      <c r="E428" s="215">
        <v>6</v>
      </c>
      <c r="F428" s="215" t="s">
        <v>651</v>
      </c>
      <c r="G428" s="119"/>
      <c r="H428" s="50" t="s">
        <v>88</v>
      </c>
      <c r="I428" s="160">
        <f>K351</f>
        <v>250</v>
      </c>
      <c r="J428" s="134">
        <f>I428*I430</f>
        <v>500</v>
      </c>
      <c r="K428" s="149">
        <f>J428</f>
        <v>500</v>
      </c>
    </row>
    <row r="429" spans="1:11" hidden="1" x14ac:dyDescent="0.35">
      <c r="A429" s="219" t="s">
        <v>295</v>
      </c>
      <c r="B429" s="219" t="s">
        <v>661</v>
      </c>
      <c r="C429" s="219" t="s">
        <v>662</v>
      </c>
      <c r="D429" s="219" t="s">
        <v>399</v>
      </c>
      <c r="E429" s="219">
        <v>7</v>
      </c>
      <c r="F429" s="219" t="s">
        <v>651</v>
      </c>
      <c r="G429" s="125"/>
      <c r="H429" s="62" t="s">
        <v>89</v>
      </c>
      <c r="I429" s="72">
        <f>QuadCoreMass</f>
        <v>0.05</v>
      </c>
      <c r="J429" s="72">
        <f>IF(J430="1.25m",($I429*I430)-(SUM(QuadCoreMass,CS125Mass)*I430),$I429*I430)</f>
        <v>0.1</v>
      </c>
      <c r="K429" s="150">
        <f>J429</f>
        <v>0.1</v>
      </c>
    </row>
    <row r="430" spans="1:11" hidden="1" x14ac:dyDescent="0.35">
      <c r="A430" s="215" t="s">
        <v>295</v>
      </c>
      <c r="B430" s="215" t="s">
        <v>661</v>
      </c>
      <c r="C430" s="215" t="s">
        <v>662</v>
      </c>
      <c r="D430" s="215" t="s">
        <v>399</v>
      </c>
      <c r="E430" s="215">
        <v>8</v>
      </c>
      <c r="F430" s="215" t="s">
        <v>651</v>
      </c>
      <c r="G430" s="119"/>
      <c r="H430" s="33" t="s">
        <v>303</v>
      </c>
      <c r="I430" s="135">
        <v>2</v>
      </c>
      <c r="J430" s="135" t="s">
        <v>44</v>
      </c>
      <c r="K430"/>
    </row>
    <row r="431" spans="1:11" hidden="1" x14ac:dyDescent="0.35">
      <c r="A431" s="215" t="s">
        <v>295</v>
      </c>
      <c r="B431" s="215" t="s">
        <v>661</v>
      </c>
      <c r="C431" s="215" t="s">
        <v>662</v>
      </c>
      <c r="D431" s="215" t="s">
        <v>399</v>
      </c>
      <c r="E431" s="215">
        <v>9</v>
      </c>
      <c r="F431" s="215" t="s">
        <v>651</v>
      </c>
      <c r="G431" s="119"/>
    </row>
    <row r="432" spans="1:11" hidden="1" x14ac:dyDescent="0.35">
      <c r="A432" s="215" t="s">
        <v>295</v>
      </c>
      <c r="B432" s="215" t="s">
        <v>661</v>
      </c>
      <c r="C432" s="215" t="s">
        <v>662</v>
      </c>
      <c r="D432" s="215" t="s">
        <v>399</v>
      </c>
      <c r="E432" s="215">
        <v>10</v>
      </c>
      <c r="F432" s="215" t="s">
        <v>651</v>
      </c>
      <c r="G432" s="119"/>
      <c r="H432" s="204" t="s">
        <v>399</v>
      </c>
      <c r="I432" s="204" t="s">
        <v>604</v>
      </c>
    </row>
    <row r="433" spans="1:11" hidden="1" x14ac:dyDescent="0.35">
      <c r="A433" s="215" t="s">
        <v>295</v>
      </c>
      <c r="B433" s="215" t="s">
        <v>661</v>
      </c>
      <c r="C433" s="215" t="s">
        <v>662</v>
      </c>
      <c r="D433" s="215" t="s">
        <v>399</v>
      </c>
      <c r="E433" s="215">
        <v>11</v>
      </c>
      <c r="F433" s="215" t="s">
        <v>651</v>
      </c>
      <c r="G433" s="119"/>
      <c r="H433" t="s">
        <v>535</v>
      </c>
      <c r="I433" s="204" t="s">
        <v>655</v>
      </c>
    </row>
    <row r="434" spans="1:11" hidden="1" x14ac:dyDescent="0.35">
      <c r="A434" s="215" t="s">
        <v>295</v>
      </c>
      <c r="B434" s="215" t="s">
        <v>661</v>
      </c>
      <c r="C434" s="215" t="s">
        <v>662</v>
      </c>
      <c r="D434" s="215" t="s">
        <v>399</v>
      </c>
      <c r="E434" s="215">
        <v>12</v>
      </c>
      <c r="F434" s="215" t="s">
        <v>651</v>
      </c>
      <c r="G434" s="119"/>
      <c r="H434" s="139" t="s">
        <v>300</v>
      </c>
      <c r="I434" s="140" t="s">
        <v>541</v>
      </c>
      <c r="J434" s="140" t="s">
        <v>302</v>
      </c>
      <c r="K434" s="141" t="s">
        <v>542</v>
      </c>
    </row>
    <row r="435" spans="1:11" hidden="1" x14ac:dyDescent="0.35">
      <c r="A435" s="215" t="s">
        <v>295</v>
      </c>
      <c r="B435" s="215" t="s">
        <v>661</v>
      </c>
      <c r="C435" s="215" t="s">
        <v>662</v>
      </c>
      <c r="D435" s="215" t="s">
        <v>399</v>
      </c>
      <c r="E435" s="215">
        <v>13</v>
      </c>
      <c r="F435" s="215" t="s">
        <v>651</v>
      </c>
      <c r="G435" s="119"/>
      <c r="H435" s="50" t="s">
        <v>285</v>
      </c>
      <c r="I435" s="134">
        <v>18</v>
      </c>
      <c r="J435" s="134">
        <v>49.500000000000007</v>
      </c>
      <c r="K435" s="149">
        <f>VLOOKUP(ROUND(J435,0),Fuel1.2RatioWholeNumbers[],1,TRUE)</f>
        <v>50</v>
      </c>
    </row>
    <row r="436" spans="1:11" hidden="1" x14ac:dyDescent="0.35">
      <c r="A436" s="215" t="s">
        <v>295</v>
      </c>
      <c r="B436" s="215" t="s">
        <v>661</v>
      </c>
      <c r="C436" s="215" t="s">
        <v>662</v>
      </c>
      <c r="D436" s="215" t="s">
        <v>399</v>
      </c>
      <c r="E436" s="215">
        <v>14</v>
      </c>
      <c r="F436" s="215" t="s">
        <v>651</v>
      </c>
      <c r="G436" s="119"/>
      <c r="H436" s="62" t="s">
        <v>288</v>
      </c>
      <c r="I436" s="72">
        <v>22</v>
      </c>
      <c r="J436" s="72">
        <v>60.500000000000007</v>
      </c>
      <c r="K436" s="159">
        <f>K435*1.2</f>
        <v>60</v>
      </c>
    </row>
    <row r="437" spans="1:11" hidden="1" x14ac:dyDescent="0.35">
      <c r="A437" s="215" t="s">
        <v>295</v>
      </c>
      <c r="B437" s="215" t="s">
        <v>661</v>
      </c>
      <c r="C437" s="215" t="s">
        <v>662</v>
      </c>
      <c r="D437" s="215" t="s">
        <v>399</v>
      </c>
      <c r="E437" s="215">
        <v>15</v>
      </c>
      <c r="F437" s="215" t="s">
        <v>651</v>
      </c>
      <c r="G437" s="119"/>
      <c r="H437" s="50" t="s">
        <v>88</v>
      </c>
      <c r="I437" s="134">
        <v>70</v>
      </c>
      <c r="J437" s="134">
        <f>I437*I439</f>
        <v>87.5</v>
      </c>
      <c r="K437" s="149">
        <f>J437</f>
        <v>87.5</v>
      </c>
    </row>
    <row r="438" spans="1:11" hidden="1" x14ac:dyDescent="0.35">
      <c r="A438" s="215" t="s">
        <v>295</v>
      </c>
      <c r="B438" s="215" t="s">
        <v>661</v>
      </c>
      <c r="C438" s="215" t="s">
        <v>662</v>
      </c>
      <c r="D438" s="215" t="s">
        <v>399</v>
      </c>
      <c r="E438" s="215">
        <v>16</v>
      </c>
      <c r="F438" s="215" t="s">
        <v>651</v>
      </c>
      <c r="G438" s="119"/>
      <c r="H438" s="62" t="s">
        <v>89</v>
      </c>
      <c r="I438" s="72">
        <v>0.25</v>
      </c>
      <c r="J438" s="72">
        <f>IF(J439="1.25m",($I438*I439)-(SUM(QuadCoreMass,CS125Mass)*I439),$I438*I439)</f>
        <v>0.3125</v>
      </c>
      <c r="K438" s="150">
        <f>J438</f>
        <v>0.3125</v>
      </c>
    </row>
    <row r="439" spans="1:11" hidden="1" x14ac:dyDescent="0.35">
      <c r="A439" s="215" t="s">
        <v>295</v>
      </c>
      <c r="B439" s="215" t="s">
        <v>661</v>
      </c>
      <c r="C439" s="215" t="s">
        <v>662</v>
      </c>
      <c r="D439" s="215" t="s">
        <v>399</v>
      </c>
      <c r="E439" s="215">
        <v>17</v>
      </c>
      <c r="F439" s="215" t="s">
        <v>651</v>
      </c>
      <c r="G439" s="119"/>
      <c r="H439" s="33" t="s">
        <v>303</v>
      </c>
      <c r="I439" s="135">
        <v>1.25</v>
      </c>
      <c r="J439" s="135" t="s">
        <v>44</v>
      </c>
      <c r="K439"/>
    </row>
    <row r="440" spans="1:11" hidden="1" x14ac:dyDescent="0.35">
      <c r="A440" s="215" t="s">
        <v>295</v>
      </c>
      <c r="B440" s="215" t="s">
        <v>661</v>
      </c>
      <c r="C440" s="215" t="s">
        <v>662</v>
      </c>
      <c r="D440" s="215" t="s">
        <v>399</v>
      </c>
      <c r="E440" s="215">
        <v>18</v>
      </c>
      <c r="F440" s="215" t="s">
        <v>651</v>
      </c>
      <c r="G440" s="119"/>
    </row>
    <row r="441" spans="1:11" hidden="1" x14ac:dyDescent="0.35">
      <c r="A441" s="215" t="s">
        <v>295</v>
      </c>
      <c r="B441" s="215" t="s">
        <v>661</v>
      </c>
      <c r="C441" s="215" t="s">
        <v>662</v>
      </c>
      <c r="D441" s="215" t="s">
        <v>399</v>
      </c>
      <c r="E441" s="215">
        <v>19</v>
      </c>
      <c r="F441" s="215" t="s">
        <v>651</v>
      </c>
      <c r="G441" s="119"/>
      <c r="H441" s="204" t="s">
        <v>399</v>
      </c>
      <c r="I441" s="204" t="s">
        <v>315</v>
      </c>
    </row>
    <row r="442" spans="1:11" hidden="1" x14ac:dyDescent="0.35">
      <c r="A442" s="215" t="s">
        <v>295</v>
      </c>
      <c r="B442" s="215" t="s">
        <v>661</v>
      </c>
      <c r="C442" s="215" t="s">
        <v>662</v>
      </c>
      <c r="D442" s="215" t="s">
        <v>399</v>
      </c>
      <c r="E442" s="215">
        <v>20</v>
      </c>
      <c r="F442" s="215" t="s">
        <v>651</v>
      </c>
      <c r="G442" s="119"/>
      <c r="H442" t="s">
        <v>535</v>
      </c>
      <c r="I442" s="204" t="s">
        <v>656</v>
      </c>
    </row>
    <row r="443" spans="1:11" hidden="1" x14ac:dyDescent="0.35">
      <c r="A443" s="215" t="s">
        <v>295</v>
      </c>
      <c r="B443" s="215" t="s">
        <v>661</v>
      </c>
      <c r="C443" s="215" t="s">
        <v>662</v>
      </c>
      <c r="D443" s="215" t="s">
        <v>399</v>
      </c>
      <c r="E443" s="215">
        <v>21</v>
      </c>
      <c r="F443" s="215" t="s">
        <v>651</v>
      </c>
      <c r="G443" s="125"/>
      <c r="H443" s="139" t="s">
        <v>300</v>
      </c>
      <c r="I443" s="140" t="s">
        <v>541</v>
      </c>
      <c r="J443" s="140" t="s">
        <v>302</v>
      </c>
      <c r="K443" s="141" t="s">
        <v>542</v>
      </c>
    </row>
    <row r="444" spans="1:11" hidden="1" x14ac:dyDescent="0.35">
      <c r="A444" s="215" t="s">
        <v>295</v>
      </c>
      <c r="B444" s="215" t="s">
        <v>661</v>
      </c>
      <c r="C444" s="215" t="s">
        <v>662</v>
      </c>
      <c r="D444" s="215" t="s">
        <v>399</v>
      </c>
      <c r="E444" s="215">
        <v>22</v>
      </c>
      <c r="F444" s="215" t="s">
        <v>651</v>
      </c>
      <c r="G444" s="119"/>
      <c r="H444" s="62" t="s">
        <v>286</v>
      </c>
      <c r="I444" s="72">
        <v>20</v>
      </c>
      <c r="J444" s="72">
        <v>120</v>
      </c>
      <c r="K444" s="155">
        <f>J444</f>
        <v>120</v>
      </c>
    </row>
    <row r="445" spans="1:11" hidden="1" x14ac:dyDescent="0.35">
      <c r="A445" s="215" t="s">
        <v>295</v>
      </c>
      <c r="B445" s="215" t="s">
        <v>661</v>
      </c>
      <c r="C445" s="215" t="s">
        <v>662</v>
      </c>
      <c r="D445" s="215" t="s">
        <v>399</v>
      </c>
      <c r="E445" s="215">
        <v>23</v>
      </c>
      <c r="F445" s="215" t="s">
        <v>651</v>
      </c>
      <c r="G445" s="119"/>
      <c r="H445" s="50" t="s">
        <v>88</v>
      </c>
      <c r="I445" s="134">
        <v>330</v>
      </c>
      <c r="J445" s="134">
        <f>I445*I447</f>
        <v>412.5</v>
      </c>
      <c r="K445" s="149">
        <f>J445</f>
        <v>412.5</v>
      </c>
    </row>
    <row r="446" spans="1:11" ht="15" hidden="1" customHeight="1" x14ac:dyDescent="0.35">
      <c r="A446" s="215" t="s">
        <v>295</v>
      </c>
      <c r="B446" s="215" t="s">
        <v>661</v>
      </c>
      <c r="C446" s="215" t="s">
        <v>662</v>
      </c>
      <c r="D446" s="215" t="s">
        <v>399</v>
      </c>
      <c r="E446" s="215">
        <v>24</v>
      </c>
      <c r="F446" s="215" t="s">
        <v>651</v>
      </c>
      <c r="G446" s="119"/>
      <c r="H446" s="62" t="s">
        <v>89</v>
      </c>
      <c r="I446" s="72">
        <v>0.08</v>
      </c>
      <c r="J446" s="72">
        <f>IF(J447="1.25m",($I446*I447)-(SUM(QuadCoreMass,CS125Mass)*I447),$I446*I447)</f>
        <v>0.1</v>
      </c>
      <c r="K446" s="150">
        <f>J446</f>
        <v>0.1</v>
      </c>
    </row>
    <row r="447" spans="1:11" hidden="1" x14ac:dyDescent="0.35">
      <c r="A447" s="215" t="s">
        <v>295</v>
      </c>
      <c r="B447" s="215" t="s">
        <v>661</v>
      </c>
      <c r="C447" s="215" t="s">
        <v>662</v>
      </c>
      <c r="D447" s="215" t="s">
        <v>399</v>
      </c>
      <c r="E447" s="215">
        <v>25</v>
      </c>
      <c r="F447" s="215" t="s">
        <v>651</v>
      </c>
      <c r="G447" s="119"/>
      <c r="H447" s="230" t="s">
        <v>303</v>
      </c>
      <c r="I447" s="135">
        <v>1.25</v>
      </c>
      <c r="J447" s="135" t="s">
        <v>44</v>
      </c>
      <c r="K447" s="134"/>
    </row>
    <row r="448" spans="1:11" hidden="1" x14ac:dyDescent="0.35">
      <c r="A448" s="219" t="s">
        <v>295</v>
      </c>
      <c r="B448" s="219" t="s">
        <v>661</v>
      </c>
      <c r="C448" s="219" t="s">
        <v>662</v>
      </c>
      <c r="D448" s="219" t="s">
        <v>399</v>
      </c>
      <c r="E448" s="219">
        <v>26</v>
      </c>
      <c r="F448" s="219" t="s">
        <v>651</v>
      </c>
      <c r="G448" s="125"/>
      <c r="H448" s="114"/>
      <c r="I448" s="114"/>
      <c r="J448" s="114"/>
      <c r="K448" s="114"/>
    </row>
    <row r="449" spans="1:11" hidden="1" x14ac:dyDescent="0.35">
      <c r="A449" s="215" t="s">
        <v>295</v>
      </c>
      <c r="B449" s="215" t="s">
        <v>661</v>
      </c>
      <c r="C449" s="215" t="s">
        <v>662</v>
      </c>
      <c r="D449" s="215" t="s">
        <v>399</v>
      </c>
      <c r="E449" s="215">
        <v>27</v>
      </c>
      <c r="F449" s="215" t="s">
        <v>651</v>
      </c>
      <c r="G449" s="119"/>
      <c r="H449" s="204" t="s">
        <v>399</v>
      </c>
      <c r="I449" s="204" t="s">
        <v>482</v>
      </c>
    </row>
    <row r="450" spans="1:11" hidden="1" x14ac:dyDescent="0.35">
      <c r="A450" s="215" t="s">
        <v>295</v>
      </c>
      <c r="B450" s="215" t="s">
        <v>661</v>
      </c>
      <c r="C450" s="215" t="s">
        <v>662</v>
      </c>
      <c r="D450" s="215" t="s">
        <v>399</v>
      </c>
      <c r="E450" s="215">
        <v>28</v>
      </c>
      <c r="F450" s="215" t="s">
        <v>651</v>
      </c>
      <c r="G450" s="119"/>
      <c r="H450" t="s">
        <v>535</v>
      </c>
      <c r="I450" s="204" t="s">
        <v>657</v>
      </c>
    </row>
    <row r="451" spans="1:11" hidden="1" x14ac:dyDescent="0.35">
      <c r="A451" s="215" t="s">
        <v>295</v>
      </c>
      <c r="B451" s="215" t="s">
        <v>661</v>
      </c>
      <c r="C451" s="215" t="s">
        <v>662</v>
      </c>
      <c r="D451" s="215" t="s">
        <v>399</v>
      </c>
      <c r="E451" s="215">
        <v>29</v>
      </c>
      <c r="F451" s="215" t="s">
        <v>651</v>
      </c>
      <c r="G451" s="119"/>
      <c r="H451" s="139" t="s">
        <v>300</v>
      </c>
      <c r="I451" s="140" t="s">
        <v>541</v>
      </c>
      <c r="J451" s="140" t="s">
        <v>302</v>
      </c>
      <c r="K451" s="141" t="s">
        <v>542</v>
      </c>
    </row>
    <row r="452" spans="1:11" hidden="1" x14ac:dyDescent="0.35">
      <c r="A452" s="215" t="s">
        <v>295</v>
      </c>
      <c r="B452" s="215" t="s">
        <v>661</v>
      </c>
      <c r="C452" s="215" t="s">
        <v>662</v>
      </c>
      <c r="D452" s="215" t="s">
        <v>399</v>
      </c>
      <c r="E452" s="215">
        <v>30</v>
      </c>
      <c r="F452" s="215" t="s">
        <v>651</v>
      </c>
      <c r="G452" s="119"/>
      <c r="H452" s="62" t="s">
        <v>290</v>
      </c>
      <c r="I452" s="72">
        <v>720</v>
      </c>
      <c r="J452" s="72">
        <v>5700</v>
      </c>
      <c r="K452" s="155">
        <f>J452</f>
        <v>5700</v>
      </c>
    </row>
    <row r="453" spans="1:11" hidden="1" x14ac:dyDescent="0.35">
      <c r="A453" s="215" t="s">
        <v>295</v>
      </c>
      <c r="B453" s="215" t="s">
        <v>661</v>
      </c>
      <c r="C453" s="215" t="s">
        <v>662</v>
      </c>
      <c r="D453" s="215" t="s">
        <v>399</v>
      </c>
      <c r="E453" s="215">
        <v>31</v>
      </c>
      <c r="F453" s="215" t="s">
        <v>651</v>
      </c>
      <c r="G453" s="119"/>
      <c r="H453" s="50" t="s">
        <v>88</v>
      </c>
      <c r="I453" s="134">
        <v>3680</v>
      </c>
      <c r="J453" s="134">
        <f>I453*I455</f>
        <v>4600</v>
      </c>
      <c r="K453" s="149">
        <f>J453</f>
        <v>4600</v>
      </c>
    </row>
    <row r="454" spans="1:11" hidden="1" x14ac:dyDescent="0.35">
      <c r="A454" s="215" t="s">
        <v>295</v>
      </c>
      <c r="B454" s="215" t="s">
        <v>661</v>
      </c>
      <c r="C454" s="215" t="s">
        <v>662</v>
      </c>
      <c r="D454" s="215" t="s">
        <v>399</v>
      </c>
      <c r="E454" s="215">
        <v>32</v>
      </c>
      <c r="F454" s="215" t="s">
        <v>651</v>
      </c>
      <c r="G454" s="119"/>
      <c r="H454" s="62" t="s">
        <v>89</v>
      </c>
      <c r="I454" s="72">
        <v>9.6000000000000002E-2</v>
      </c>
      <c r="J454" s="72">
        <f>IF(J455="1.25m",($I454*I455)-(SUM(QuadCoreMass,CS125Mass)*I455),$I454*I455)</f>
        <v>0.12</v>
      </c>
      <c r="K454" s="150">
        <f>J454</f>
        <v>0.12</v>
      </c>
    </row>
    <row r="455" spans="1:11" hidden="1" x14ac:dyDescent="0.35">
      <c r="A455" s="219" t="s">
        <v>295</v>
      </c>
      <c r="B455" s="219" t="s">
        <v>661</v>
      </c>
      <c r="C455" s="219" t="s">
        <v>662</v>
      </c>
      <c r="D455" s="219" t="s">
        <v>399</v>
      </c>
      <c r="E455" s="219">
        <v>33</v>
      </c>
      <c r="F455" s="219" t="s">
        <v>651</v>
      </c>
      <c r="G455" s="125"/>
      <c r="H455" s="230" t="s">
        <v>303</v>
      </c>
      <c r="I455" s="135">
        <v>1.25</v>
      </c>
      <c r="J455" s="135" t="s">
        <v>44</v>
      </c>
      <c r="K455" s="134"/>
    </row>
    <row r="456" spans="1:11" s="124" customFormat="1" ht="15" hidden="1" thickBot="1" x14ac:dyDescent="0.4">
      <c r="A456" s="216" t="s">
        <v>295</v>
      </c>
      <c r="B456" s="216" t="s">
        <v>661</v>
      </c>
      <c r="C456" s="216" t="s">
        <v>662</v>
      </c>
      <c r="D456" s="216" t="s">
        <v>399</v>
      </c>
      <c r="E456" s="216">
        <v>34</v>
      </c>
      <c r="F456" s="216" t="s">
        <v>651</v>
      </c>
      <c r="G456" s="123"/>
    </row>
    <row r="457" spans="1:11" ht="18.75" hidden="1" customHeight="1" x14ac:dyDescent="0.45">
      <c r="A457" s="219" t="s">
        <v>295</v>
      </c>
      <c r="B457" s="219" t="s">
        <v>664</v>
      </c>
      <c r="C457" s="219" t="s">
        <v>665</v>
      </c>
      <c r="D457" s="219" t="s">
        <v>666</v>
      </c>
      <c r="E457" s="219">
        <v>1</v>
      </c>
      <c r="F457" s="219" t="s">
        <v>667</v>
      </c>
      <c r="H457" s="225" t="s">
        <v>668</v>
      </c>
      <c r="I457" s="225"/>
      <c r="J457" s="225"/>
      <c r="K457" s="225"/>
    </row>
    <row r="458" spans="1:11" hidden="1" x14ac:dyDescent="0.35">
      <c r="A458" s="215" t="s">
        <v>295</v>
      </c>
      <c r="B458" s="215" t="s">
        <v>664</v>
      </c>
      <c r="C458" s="215" t="s">
        <v>665</v>
      </c>
      <c r="D458" s="215" t="s">
        <v>666</v>
      </c>
      <c r="E458" s="215">
        <v>2</v>
      </c>
      <c r="F458" s="215" t="s">
        <v>667</v>
      </c>
      <c r="H458" s="115" t="s">
        <v>535</v>
      </c>
      <c r="I458" s="115" t="s">
        <v>669</v>
      </c>
      <c r="J458" s="115"/>
      <c r="K458" s="115"/>
    </row>
    <row r="459" spans="1:11" hidden="1" x14ac:dyDescent="0.35">
      <c r="A459" s="215" t="s">
        <v>295</v>
      </c>
      <c r="B459" s="215" t="s">
        <v>664</v>
      </c>
      <c r="C459" s="215" t="s">
        <v>665</v>
      </c>
      <c r="D459" s="215" t="s">
        <v>666</v>
      </c>
      <c r="E459" s="215">
        <v>3</v>
      </c>
      <c r="F459" s="215" t="s">
        <v>667</v>
      </c>
      <c r="H459" s="115" t="s">
        <v>537</v>
      </c>
      <c r="I459" s="115" t="s">
        <v>670</v>
      </c>
      <c r="J459" s="115" t="s">
        <v>539</v>
      </c>
      <c r="K459" s="100">
        <v>1400</v>
      </c>
    </row>
    <row r="460" spans="1:11" hidden="1" x14ac:dyDescent="0.35">
      <c r="A460" s="215" t="s">
        <v>295</v>
      </c>
      <c r="B460" s="215" t="s">
        <v>664</v>
      </c>
      <c r="C460" s="215" t="s">
        <v>665</v>
      </c>
      <c r="D460" s="215" t="s">
        <v>666</v>
      </c>
      <c r="E460" s="215">
        <v>4</v>
      </c>
      <c r="F460" s="215" t="s">
        <v>667</v>
      </c>
      <c r="H460" s="115" t="s">
        <v>90</v>
      </c>
      <c r="I460" s="115">
        <v>1800</v>
      </c>
      <c r="J460" s="115" t="s">
        <v>540</v>
      </c>
      <c r="K460" s="115">
        <v>12</v>
      </c>
    </row>
    <row r="461" spans="1:11" hidden="1" x14ac:dyDescent="0.35">
      <c r="A461" s="215" t="s">
        <v>295</v>
      </c>
      <c r="B461" s="215" t="s">
        <v>664</v>
      </c>
      <c r="C461" s="215" t="s">
        <v>665</v>
      </c>
      <c r="D461" s="215" t="s">
        <v>666</v>
      </c>
      <c r="E461" s="215">
        <v>5</v>
      </c>
      <c r="F461" s="215" t="s">
        <v>667</v>
      </c>
      <c r="H461" s="136" t="s">
        <v>300</v>
      </c>
      <c r="I461" s="137" t="s">
        <v>541</v>
      </c>
      <c r="J461" s="137" t="s">
        <v>302</v>
      </c>
      <c r="K461" s="138" t="s">
        <v>542</v>
      </c>
    </row>
    <row r="462" spans="1:11" hidden="1" x14ac:dyDescent="0.35">
      <c r="A462" s="215" t="s">
        <v>295</v>
      </c>
      <c r="B462" s="215" t="s">
        <v>664</v>
      </c>
      <c r="C462" s="215" t="s">
        <v>665</v>
      </c>
      <c r="D462" s="215" t="s">
        <v>666</v>
      </c>
      <c r="E462" s="215">
        <v>6</v>
      </c>
      <c r="F462" s="215" t="s">
        <v>667</v>
      </c>
      <c r="H462" s="62" t="s">
        <v>282</v>
      </c>
      <c r="I462" s="72">
        <v>10</v>
      </c>
      <c r="J462" s="72">
        <f>I462*I465</f>
        <v>10</v>
      </c>
      <c r="K462" s="155">
        <f>J462</f>
        <v>10</v>
      </c>
    </row>
    <row r="463" spans="1:11" ht="15" hidden="1" customHeight="1" x14ac:dyDescent="0.35">
      <c r="A463" s="215" t="s">
        <v>295</v>
      </c>
      <c r="B463" s="215" t="s">
        <v>664</v>
      </c>
      <c r="C463" s="215" t="s">
        <v>665</v>
      </c>
      <c r="D463" s="215" t="s">
        <v>666</v>
      </c>
      <c r="E463" s="215">
        <v>7</v>
      </c>
      <c r="F463" s="215" t="s">
        <v>667</v>
      </c>
      <c r="H463" s="50" t="s">
        <v>88</v>
      </c>
      <c r="I463" s="134">
        <f>300</f>
        <v>300</v>
      </c>
      <c r="J463" s="134">
        <f>I463*I465</f>
        <v>300</v>
      </c>
      <c r="K463" s="149">
        <f>J463</f>
        <v>300</v>
      </c>
    </row>
    <row r="464" spans="1:11" hidden="1" x14ac:dyDescent="0.35">
      <c r="A464" s="215" t="s">
        <v>295</v>
      </c>
      <c r="B464" s="215" t="s">
        <v>664</v>
      </c>
      <c r="C464" s="215" t="s">
        <v>665</v>
      </c>
      <c r="D464" s="215" t="s">
        <v>666</v>
      </c>
      <c r="E464" s="215">
        <v>8</v>
      </c>
      <c r="F464" s="215" t="s">
        <v>667</v>
      </c>
      <c r="H464" s="62" t="s">
        <v>89</v>
      </c>
      <c r="I464" s="72">
        <f>0.05</f>
        <v>0.05</v>
      </c>
      <c r="J464" s="72">
        <f>IF(J465="1.25m",($I464*I465)-(SUM(QuadCoreMass,CS125Mass)*I465),$I464*I465)</f>
        <v>0.05</v>
      </c>
      <c r="K464" s="150">
        <f>J464</f>
        <v>0.05</v>
      </c>
    </row>
    <row r="465" spans="1:11" hidden="1" x14ac:dyDescent="0.35">
      <c r="A465" s="219" t="s">
        <v>295</v>
      </c>
      <c r="B465" s="219" t="s">
        <v>664</v>
      </c>
      <c r="C465" s="219" t="s">
        <v>665</v>
      </c>
      <c r="D465" s="219" t="s">
        <v>666</v>
      </c>
      <c r="E465" s="219">
        <v>9</v>
      </c>
      <c r="F465" s="219" t="s">
        <v>667</v>
      </c>
      <c r="G465" s="114"/>
      <c r="H465" s="230" t="s">
        <v>303</v>
      </c>
      <c r="I465" s="135">
        <v>1</v>
      </c>
      <c r="J465" s="135" t="s">
        <v>44</v>
      </c>
      <c r="K465" s="134"/>
    </row>
    <row r="466" spans="1:11" s="124" customFormat="1" ht="15" hidden="1" thickBot="1" x14ac:dyDescent="0.4">
      <c r="A466" s="216" t="s">
        <v>295</v>
      </c>
      <c r="B466" s="216" t="s">
        <v>664</v>
      </c>
      <c r="C466" s="216" t="s">
        <v>665</v>
      </c>
      <c r="D466" s="216" t="s">
        <v>666</v>
      </c>
      <c r="E466" s="216">
        <v>10</v>
      </c>
      <c r="F466" s="216" t="s">
        <v>667</v>
      </c>
    </row>
    <row r="467" spans="1:11" s="114" customFormat="1" ht="18.75" hidden="1" customHeight="1" x14ac:dyDescent="0.45">
      <c r="A467" s="215" t="s">
        <v>295</v>
      </c>
      <c r="B467" s="219" t="s">
        <v>671</v>
      </c>
      <c r="C467" s="219" t="s">
        <v>672</v>
      </c>
      <c r="D467" s="219" t="s">
        <v>666</v>
      </c>
      <c r="E467" s="219">
        <v>1</v>
      </c>
      <c r="F467" s="215" t="s">
        <v>667</v>
      </c>
      <c r="H467" s="225" t="s">
        <v>673</v>
      </c>
      <c r="I467" s="225"/>
      <c r="J467" s="225"/>
      <c r="K467" s="225"/>
    </row>
    <row r="468" spans="1:11" s="114" customFormat="1" hidden="1" x14ac:dyDescent="0.35">
      <c r="A468" s="215" t="s">
        <v>295</v>
      </c>
      <c r="B468" s="219" t="s">
        <v>671</v>
      </c>
      <c r="C468" s="219" t="s">
        <v>672</v>
      </c>
      <c r="D468" s="219" t="s">
        <v>666</v>
      </c>
      <c r="E468" s="219">
        <v>2</v>
      </c>
      <c r="F468" s="215" t="s">
        <v>667</v>
      </c>
      <c r="H468" s="115" t="s">
        <v>535</v>
      </c>
      <c r="I468" s="115" t="s">
        <v>674</v>
      </c>
      <c r="J468" s="115"/>
      <c r="K468" s="115"/>
    </row>
    <row r="469" spans="1:11" s="114" customFormat="1" hidden="1" x14ac:dyDescent="0.35">
      <c r="A469" s="215" t="s">
        <v>295</v>
      </c>
      <c r="B469" s="219" t="s">
        <v>671</v>
      </c>
      <c r="C469" s="219" t="s">
        <v>672</v>
      </c>
      <c r="D469" s="219" t="s">
        <v>666</v>
      </c>
      <c r="E469" s="219">
        <v>3</v>
      </c>
      <c r="F469" s="215" t="s">
        <v>667</v>
      </c>
      <c r="H469" s="115" t="s">
        <v>537</v>
      </c>
      <c r="I469" s="115" t="s">
        <v>558</v>
      </c>
      <c r="J469" s="115" t="s">
        <v>539</v>
      </c>
      <c r="K469" s="115">
        <v>4900</v>
      </c>
    </row>
    <row r="470" spans="1:11" s="114" customFormat="1" hidden="1" x14ac:dyDescent="0.35">
      <c r="A470" s="215" t="s">
        <v>295</v>
      </c>
      <c r="B470" s="219" t="s">
        <v>671</v>
      </c>
      <c r="C470" s="219" t="s">
        <v>672</v>
      </c>
      <c r="D470" s="219" t="s">
        <v>666</v>
      </c>
      <c r="E470" s="219">
        <v>4</v>
      </c>
      <c r="F470" s="215" t="s">
        <v>667</v>
      </c>
      <c r="H470" s="115" t="s">
        <v>90</v>
      </c>
      <c r="I470" s="115">
        <v>1200</v>
      </c>
      <c r="J470" s="115" t="s">
        <v>540</v>
      </c>
      <c r="K470" s="115">
        <v>12</v>
      </c>
    </row>
    <row r="471" spans="1:11" s="114" customFormat="1" hidden="1" x14ac:dyDescent="0.35">
      <c r="A471" s="219" t="s">
        <v>295</v>
      </c>
      <c r="B471" s="219" t="s">
        <v>671</v>
      </c>
      <c r="C471" s="219" t="s">
        <v>672</v>
      </c>
      <c r="D471" s="219" t="s">
        <v>666</v>
      </c>
      <c r="E471" s="219">
        <v>5</v>
      </c>
      <c r="F471" s="219" t="s">
        <v>667</v>
      </c>
      <c r="H471" s="136" t="s">
        <v>300</v>
      </c>
      <c r="I471" s="137" t="s">
        <v>541</v>
      </c>
      <c r="J471" s="137" t="s">
        <v>302</v>
      </c>
      <c r="K471" s="138" t="s">
        <v>542</v>
      </c>
    </row>
    <row r="472" spans="1:11" s="114" customFormat="1" hidden="1" x14ac:dyDescent="0.35">
      <c r="A472" s="215" t="s">
        <v>295</v>
      </c>
      <c r="B472" s="219" t="s">
        <v>671</v>
      </c>
      <c r="C472" s="219" t="s">
        <v>672</v>
      </c>
      <c r="D472" s="219" t="s">
        <v>666</v>
      </c>
      <c r="E472" s="219">
        <v>6</v>
      </c>
      <c r="F472" s="215" t="s">
        <v>667</v>
      </c>
      <c r="H472" s="62" t="s">
        <v>282</v>
      </c>
      <c r="I472" s="72">
        <v>10</v>
      </c>
      <c r="J472" s="72">
        <f>I472*I475</f>
        <v>10</v>
      </c>
      <c r="K472" s="155">
        <f>J472</f>
        <v>10</v>
      </c>
    </row>
    <row r="473" spans="1:11" s="114" customFormat="1" hidden="1" x14ac:dyDescent="0.35">
      <c r="A473" s="215" t="s">
        <v>295</v>
      </c>
      <c r="B473" s="219" t="s">
        <v>671</v>
      </c>
      <c r="C473" s="219" t="s">
        <v>672</v>
      </c>
      <c r="D473" s="219" t="s">
        <v>666</v>
      </c>
      <c r="E473" s="219">
        <v>7</v>
      </c>
      <c r="F473" s="215" t="s">
        <v>667</v>
      </c>
      <c r="H473" s="50" t="s">
        <v>88</v>
      </c>
      <c r="I473" s="134">
        <v>650</v>
      </c>
      <c r="J473" s="134">
        <f>I473*I475</f>
        <v>650</v>
      </c>
      <c r="K473" s="149">
        <f>J473</f>
        <v>650</v>
      </c>
    </row>
    <row r="474" spans="1:11" s="114" customFormat="1" hidden="1" x14ac:dyDescent="0.35">
      <c r="A474" s="219" t="s">
        <v>295</v>
      </c>
      <c r="B474" s="219" t="s">
        <v>671</v>
      </c>
      <c r="C474" s="219" t="s">
        <v>672</v>
      </c>
      <c r="D474" s="219" t="s">
        <v>666</v>
      </c>
      <c r="E474" s="219">
        <v>8</v>
      </c>
      <c r="F474" s="219" t="s">
        <v>667</v>
      </c>
      <c r="H474" s="62" t="s">
        <v>89</v>
      </c>
      <c r="I474" s="72">
        <v>0.1</v>
      </c>
      <c r="J474" s="72">
        <f>IF(J475="1.25m",($I474*I475)-(SUM(QuadCoreMass,CS125Mass)*I475),$I474*I475)</f>
        <v>0.1</v>
      </c>
      <c r="K474" s="150">
        <f>J474</f>
        <v>0.1</v>
      </c>
    </row>
    <row r="475" spans="1:11" s="114" customFormat="1" hidden="1" x14ac:dyDescent="0.35">
      <c r="A475" s="219" t="s">
        <v>295</v>
      </c>
      <c r="B475" s="219" t="s">
        <v>671</v>
      </c>
      <c r="C475" s="219" t="s">
        <v>672</v>
      </c>
      <c r="D475" s="219" t="s">
        <v>666</v>
      </c>
      <c r="E475" s="219">
        <v>9</v>
      </c>
      <c r="F475" s="219" t="s">
        <v>667</v>
      </c>
      <c r="H475" s="230" t="s">
        <v>303</v>
      </c>
      <c r="I475" s="135">
        <v>1</v>
      </c>
      <c r="J475" s="135" t="s">
        <v>44</v>
      </c>
      <c r="K475" s="134"/>
    </row>
    <row r="476" spans="1:11" s="124" customFormat="1" ht="15" hidden="1" thickBot="1" x14ac:dyDescent="0.4">
      <c r="A476" s="216" t="s">
        <v>295</v>
      </c>
      <c r="B476" s="216" t="s">
        <v>671</v>
      </c>
      <c r="C476" s="216" t="s">
        <v>672</v>
      </c>
      <c r="D476" s="216" t="s">
        <v>666</v>
      </c>
      <c r="E476" s="216">
        <v>10</v>
      </c>
      <c r="F476" s="216" t="s">
        <v>667</v>
      </c>
    </row>
    <row r="477" spans="1:11" s="16" customFormat="1" ht="18.5" hidden="1" x14ac:dyDescent="0.45">
      <c r="A477" s="220" t="s">
        <v>393</v>
      </c>
      <c r="B477" s="220" t="s">
        <v>675</v>
      </c>
      <c r="C477" s="220" t="s">
        <v>676</v>
      </c>
      <c r="D477" s="220" t="s">
        <v>377</v>
      </c>
      <c r="E477" s="220">
        <v>1</v>
      </c>
      <c r="F477" s="220" t="s">
        <v>377</v>
      </c>
      <c r="H477" s="116" t="s">
        <v>392</v>
      </c>
      <c r="I477" s="116"/>
      <c r="J477" s="116"/>
      <c r="K477" s="116"/>
    </row>
    <row r="478" spans="1:11" hidden="1" x14ac:dyDescent="0.35">
      <c r="A478" s="220" t="s">
        <v>393</v>
      </c>
      <c r="B478" s="220" t="s">
        <v>675</v>
      </c>
      <c r="C478" s="220" t="s">
        <v>676</v>
      </c>
      <c r="D478" s="220" t="s">
        <v>377</v>
      </c>
      <c r="E478" s="220">
        <v>2</v>
      </c>
      <c r="F478" s="220" t="s">
        <v>377</v>
      </c>
      <c r="H478" s="115" t="s">
        <v>535</v>
      </c>
      <c r="I478" s="115" t="s">
        <v>391</v>
      </c>
      <c r="J478" s="115"/>
      <c r="K478" s="115"/>
    </row>
    <row r="479" spans="1:11" hidden="1" x14ac:dyDescent="0.35">
      <c r="A479" s="238" t="s">
        <v>393</v>
      </c>
      <c r="B479" s="238" t="s">
        <v>675</v>
      </c>
      <c r="C479" s="238" t="s">
        <v>676</v>
      </c>
      <c r="D479" s="238" t="s">
        <v>377</v>
      </c>
      <c r="E479" s="238">
        <v>3</v>
      </c>
      <c r="F479" s="238" t="s">
        <v>377</v>
      </c>
      <c r="G479" s="114"/>
      <c r="H479" s="115" t="s">
        <v>537</v>
      </c>
      <c r="I479" s="115" t="s">
        <v>677</v>
      </c>
      <c r="J479" s="115" t="s">
        <v>539</v>
      </c>
      <c r="K479" s="115">
        <v>12400</v>
      </c>
    </row>
    <row r="480" spans="1:11" ht="15" hidden="1" customHeight="1" x14ac:dyDescent="0.35">
      <c r="A480" s="220" t="s">
        <v>393</v>
      </c>
      <c r="B480" s="220" t="s">
        <v>675</v>
      </c>
      <c r="C480" s="220" t="s">
        <v>676</v>
      </c>
      <c r="D480" s="220" t="s">
        <v>377</v>
      </c>
      <c r="E480" s="220">
        <v>4</v>
      </c>
      <c r="F480" s="220" t="s">
        <v>377</v>
      </c>
      <c r="H480" s="115" t="s">
        <v>90</v>
      </c>
      <c r="I480" s="115">
        <v>1200</v>
      </c>
      <c r="J480" s="115" t="s">
        <v>540</v>
      </c>
      <c r="K480" s="115">
        <v>8</v>
      </c>
    </row>
    <row r="481" spans="1:11" hidden="1" x14ac:dyDescent="0.35">
      <c r="A481" s="220" t="s">
        <v>393</v>
      </c>
      <c r="B481" s="220" t="s">
        <v>675</v>
      </c>
      <c r="C481" s="220" t="s">
        <v>676</v>
      </c>
      <c r="D481" s="220" t="s">
        <v>377</v>
      </c>
      <c r="E481" s="220">
        <v>5</v>
      </c>
      <c r="F481" s="220" t="s">
        <v>377</v>
      </c>
      <c r="H481" s="136" t="s">
        <v>300</v>
      </c>
      <c r="I481" s="137" t="s">
        <v>541</v>
      </c>
      <c r="J481" s="137" t="s">
        <v>302</v>
      </c>
      <c r="K481" s="138" t="s">
        <v>542</v>
      </c>
    </row>
    <row r="482" spans="1:11" hidden="1" x14ac:dyDescent="0.35">
      <c r="A482" s="220" t="s">
        <v>393</v>
      </c>
      <c r="B482" s="220" t="s">
        <v>675</v>
      </c>
      <c r="C482" s="220" t="s">
        <v>676</v>
      </c>
      <c r="D482" s="220" t="s">
        <v>377</v>
      </c>
      <c r="E482" s="220">
        <v>6</v>
      </c>
      <c r="F482" s="220" t="s">
        <v>377</v>
      </c>
      <c r="H482" s="50" t="s">
        <v>88</v>
      </c>
      <c r="I482" s="134">
        <f>6000+8800</f>
        <v>14800</v>
      </c>
      <c r="J482" s="134">
        <f>I482*I484</f>
        <v>14800</v>
      </c>
      <c r="K482" s="149">
        <f>J482</f>
        <v>14800</v>
      </c>
    </row>
    <row r="483" spans="1:11" hidden="1" x14ac:dyDescent="0.35">
      <c r="A483" s="220" t="s">
        <v>393</v>
      </c>
      <c r="B483" s="220" t="s">
        <v>675</v>
      </c>
      <c r="C483" s="220" t="s">
        <v>676</v>
      </c>
      <c r="D483" s="220" t="s">
        <v>377</v>
      </c>
      <c r="E483" s="220">
        <v>7</v>
      </c>
      <c r="F483" s="220" t="s">
        <v>377</v>
      </c>
      <c r="H483" s="62" t="s">
        <v>89</v>
      </c>
      <c r="I483" s="72">
        <f>0.005+0.005</f>
        <v>0.01</v>
      </c>
      <c r="J483" s="72">
        <f>IF(J484="1.25m",($I483*I484)-(SUM(QuadCoreMass,CS125Mass)*I484),$I483*I484)</f>
        <v>0.01</v>
      </c>
      <c r="K483" s="150">
        <f>J483</f>
        <v>0.01</v>
      </c>
    </row>
    <row r="484" spans="1:11" hidden="1" x14ac:dyDescent="0.35">
      <c r="A484" s="220" t="s">
        <v>393</v>
      </c>
      <c r="B484" s="220" t="s">
        <v>675</v>
      </c>
      <c r="C484" s="220" t="s">
        <v>676</v>
      </c>
      <c r="D484" s="220" t="s">
        <v>377</v>
      </c>
      <c r="E484" s="220">
        <v>8</v>
      </c>
      <c r="F484" s="220" t="s">
        <v>377</v>
      </c>
      <c r="H484" s="230" t="s">
        <v>303</v>
      </c>
      <c r="I484" s="135">
        <v>1</v>
      </c>
      <c r="J484" s="135" t="s">
        <v>45</v>
      </c>
      <c r="K484" s="134"/>
    </row>
    <row r="485" spans="1:11" s="124" customFormat="1" ht="15" hidden="1" collapsed="1" thickBot="1" x14ac:dyDescent="0.4">
      <c r="A485" s="221" t="s">
        <v>393</v>
      </c>
      <c r="B485" s="221" t="s">
        <v>675</v>
      </c>
      <c r="C485" s="221" t="s">
        <v>676</v>
      </c>
      <c r="D485" s="221" t="s">
        <v>377</v>
      </c>
      <c r="E485" s="221">
        <v>9</v>
      </c>
      <c r="F485" s="221" t="s">
        <v>377</v>
      </c>
    </row>
    <row r="486" spans="1:11" s="16" customFormat="1" ht="18.75" hidden="1" customHeight="1" x14ac:dyDescent="0.45">
      <c r="A486" s="215" t="s">
        <v>393</v>
      </c>
      <c r="B486" s="215" t="s">
        <v>678</v>
      </c>
      <c r="C486" s="215" t="s">
        <v>679</v>
      </c>
      <c r="D486" s="215" t="s">
        <v>377</v>
      </c>
      <c r="E486" s="215">
        <v>1</v>
      </c>
      <c r="F486" s="215" t="s">
        <v>377</v>
      </c>
      <c r="H486" s="116" t="s">
        <v>376</v>
      </c>
      <c r="I486" s="116"/>
      <c r="J486" s="116"/>
      <c r="K486" s="116"/>
    </row>
    <row r="487" spans="1:11" hidden="1" x14ac:dyDescent="0.35">
      <c r="A487" s="215" t="s">
        <v>393</v>
      </c>
      <c r="B487" s="215" t="s">
        <v>678</v>
      </c>
      <c r="C487" s="215" t="s">
        <v>679</v>
      </c>
      <c r="D487" s="215" t="s">
        <v>377</v>
      </c>
      <c r="E487" s="215">
        <v>2</v>
      </c>
      <c r="F487" s="215" t="s">
        <v>377</v>
      </c>
      <c r="H487" s="115" t="s">
        <v>535</v>
      </c>
      <c r="I487" s="115" t="s">
        <v>375</v>
      </c>
      <c r="J487" s="115"/>
      <c r="K487" s="115">
        <v>12200</v>
      </c>
    </row>
    <row r="488" spans="1:11" hidden="1" x14ac:dyDescent="0.35">
      <c r="A488" s="215" t="s">
        <v>393</v>
      </c>
      <c r="B488" s="215" t="s">
        <v>678</v>
      </c>
      <c r="C488" s="215" t="s">
        <v>679</v>
      </c>
      <c r="D488" s="215" t="s">
        <v>377</v>
      </c>
      <c r="E488" s="215">
        <v>3</v>
      </c>
      <c r="F488" s="215" t="s">
        <v>377</v>
      </c>
      <c r="H488" s="115" t="s">
        <v>537</v>
      </c>
      <c r="I488" s="115" t="s">
        <v>680</v>
      </c>
      <c r="J488" s="115" t="s">
        <v>539</v>
      </c>
      <c r="K488" s="100"/>
    </row>
    <row r="489" spans="1:11" ht="15" hidden="1" customHeight="1" x14ac:dyDescent="0.35">
      <c r="A489" s="215" t="s">
        <v>393</v>
      </c>
      <c r="B489" s="215" t="s">
        <v>678</v>
      </c>
      <c r="C489" s="215" t="s">
        <v>679</v>
      </c>
      <c r="D489" s="215" t="s">
        <v>377</v>
      </c>
      <c r="E489" s="215">
        <v>4</v>
      </c>
      <c r="F489" s="215" t="s">
        <v>377</v>
      </c>
      <c r="H489" s="100" t="s">
        <v>90</v>
      </c>
      <c r="I489" s="115">
        <v>1200</v>
      </c>
      <c r="J489" s="115" t="s">
        <v>540</v>
      </c>
      <c r="K489" s="115">
        <v>8</v>
      </c>
    </row>
    <row r="490" spans="1:11" hidden="1" x14ac:dyDescent="0.35">
      <c r="A490" s="215" t="s">
        <v>393</v>
      </c>
      <c r="B490" s="215" t="s">
        <v>678</v>
      </c>
      <c r="C490" s="215" t="s">
        <v>679</v>
      </c>
      <c r="D490" s="215" t="s">
        <v>377</v>
      </c>
      <c r="E490" s="215">
        <v>5</v>
      </c>
      <c r="F490" s="215" t="s">
        <v>377</v>
      </c>
      <c r="H490" s="136" t="s">
        <v>300</v>
      </c>
      <c r="I490" s="137" t="s">
        <v>541</v>
      </c>
      <c r="J490" s="137" t="s">
        <v>302</v>
      </c>
      <c r="K490" s="138" t="s">
        <v>542</v>
      </c>
    </row>
    <row r="491" spans="1:11" hidden="1" x14ac:dyDescent="0.35">
      <c r="A491" s="215" t="s">
        <v>393</v>
      </c>
      <c r="B491" s="215" t="s">
        <v>678</v>
      </c>
      <c r="C491" s="215" t="s">
        <v>679</v>
      </c>
      <c r="D491" s="215" t="s">
        <v>377</v>
      </c>
      <c r="E491" s="215">
        <v>6</v>
      </c>
      <c r="F491" s="215" t="s">
        <v>377</v>
      </c>
      <c r="H491" s="50" t="s">
        <v>88</v>
      </c>
      <c r="I491" s="134">
        <v>6500</v>
      </c>
      <c r="J491" s="134">
        <f>I491*I493</f>
        <v>6500</v>
      </c>
      <c r="K491" s="149">
        <f>J491</f>
        <v>6500</v>
      </c>
    </row>
    <row r="492" spans="1:11" hidden="1" x14ac:dyDescent="0.35">
      <c r="A492" s="215" t="s">
        <v>393</v>
      </c>
      <c r="B492" s="215" t="s">
        <v>678</v>
      </c>
      <c r="C492" s="215" t="s">
        <v>679</v>
      </c>
      <c r="D492" s="215" t="s">
        <v>377</v>
      </c>
      <c r="E492" s="215">
        <v>7</v>
      </c>
      <c r="F492" s="215" t="s">
        <v>377</v>
      </c>
      <c r="H492" s="62" t="s">
        <v>89</v>
      </c>
      <c r="I492" s="72">
        <v>5.0000000000000001E-3</v>
      </c>
      <c r="J492" s="72">
        <f>IF(J493="1.25m",($I492*I493)-(SUM(QuadCoreMass,CS125Mass)*I493),$I492*I493)</f>
        <v>5.0000000000000001E-3</v>
      </c>
      <c r="K492" s="150">
        <f>J492</f>
        <v>5.0000000000000001E-3</v>
      </c>
    </row>
    <row r="493" spans="1:11" hidden="1" x14ac:dyDescent="0.35">
      <c r="A493" s="215" t="s">
        <v>393</v>
      </c>
      <c r="B493" s="215" t="s">
        <v>678</v>
      </c>
      <c r="C493" s="215" t="s">
        <v>679</v>
      </c>
      <c r="D493" s="215" t="s">
        <v>377</v>
      </c>
      <c r="E493" s="215">
        <v>8</v>
      </c>
      <c r="F493" s="215" t="s">
        <v>377</v>
      </c>
      <c r="H493" s="230" t="s">
        <v>303</v>
      </c>
      <c r="I493" s="135">
        <v>1</v>
      </c>
      <c r="J493" s="135" t="s">
        <v>45</v>
      </c>
      <c r="K493" s="134"/>
    </row>
    <row r="494" spans="1:11" s="124" customFormat="1" ht="15" hidden="1" thickBot="1" x14ac:dyDescent="0.4">
      <c r="A494" s="216" t="s">
        <v>393</v>
      </c>
      <c r="B494" s="216" t="s">
        <v>678</v>
      </c>
      <c r="C494" s="216" t="s">
        <v>679</v>
      </c>
      <c r="D494" s="216" t="s">
        <v>377</v>
      </c>
      <c r="E494" s="216">
        <v>9</v>
      </c>
      <c r="F494" s="216" t="s">
        <v>377</v>
      </c>
    </row>
    <row r="495" spans="1:11" s="16" customFormat="1" ht="18.75" hidden="1" customHeight="1" x14ac:dyDescent="0.45">
      <c r="A495" s="219" t="s">
        <v>393</v>
      </c>
      <c r="B495" s="219" t="s">
        <v>681</v>
      </c>
      <c r="C495" s="219" t="s">
        <v>682</v>
      </c>
      <c r="D495" s="219" t="s">
        <v>377</v>
      </c>
      <c r="E495" s="219">
        <v>1</v>
      </c>
      <c r="F495" s="219" t="s">
        <v>377</v>
      </c>
      <c r="G495" s="189"/>
      <c r="H495" s="116" t="s">
        <v>381</v>
      </c>
      <c r="I495" s="116"/>
      <c r="J495" s="116"/>
      <c r="K495" s="116"/>
    </row>
    <row r="496" spans="1:11" hidden="1" x14ac:dyDescent="0.35">
      <c r="A496" s="215" t="s">
        <v>393</v>
      </c>
      <c r="B496" s="215" t="s">
        <v>681</v>
      </c>
      <c r="C496" s="215" t="s">
        <v>682</v>
      </c>
      <c r="D496" s="215" t="s">
        <v>377</v>
      </c>
      <c r="E496" s="215">
        <v>2</v>
      </c>
      <c r="F496" s="215" t="s">
        <v>377</v>
      </c>
      <c r="H496" s="115" t="s">
        <v>535</v>
      </c>
      <c r="I496" s="115" t="s">
        <v>380</v>
      </c>
      <c r="J496" s="115"/>
      <c r="K496" s="115"/>
    </row>
    <row r="497" spans="1:11" hidden="1" x14ac:dyDescent="0.35">
      <c r="A497" s="215" t="s">
        <v>393</v>
      </c>
      <c r="B497" s="215" t="s">
        <v>681</v>
      </c>
      <c r="C497" s="215" t="s">
        <v>682</v>
      </c>
      <c r="D497" s="215" t="s">
        <v>377</v>
      </c>
      <c r="E497" s="215">
        <v>3</v>
      </c>
      <c r="F497" s="215" t="s">
        <v>377</v>
      </c>
      <c r="H497" s="115" t="s">
        <v>537</v>
      </c>
      <c r="I497" s="115" t="s">
        <v>683</v>
      </c>
      <c r="J497" s="115" t="s">
        <v>539</v>
      </c>
      <c r="K497" s="100">
        <v>2400</v>
      </c>
    </row>
    <row r="498" spans="1:11" ht="15" hidden="1" customHeight="1" x14ac:dyDescent="0.35">
      <c r="A498" s="215" t="s">
        <v>393</v>
      </c>
      <c r="B498" s="215" t="s">
        <v>681</v>
      </c>
      <c r="C498" s="215" t="s">
        <v>682</v>
      </c>
      <c r="D498" s="215" t="s">
        <v>377</v>
      </c>
      <c r="E498" s="215">
        <v>4</v>
      </c>
      <c r="F498" s="215" t="s">
        <v>377</v>
      </c>
      <c r="H498" s="100" t="s">
        <v>90</v>
      </c>
      <c r="I498" s="115">
        <v>1200</v>
      </c>
      <c r="J498" s="115" t="s">
        <v>540</v>
      </c>
      <c r="K498" s="115">
        <v>6</v>
      </c>
    </row>
    <row r="499" spans="1:11" ht="15" hidden="1" customHeight="1" x14ac:dyDescent="0.35">
      <c r="A499" s="215" t="s">
        <v>393</v>
      </c>
      <c r="B499" s="215" t="s">
        <v>681</v>
      </c>
      <c r="C499" s="215" t="s">
        <v>682</v>
      </c>
      <c r="D499" s="215" t="s">
        <v>377</v>
      </c>
      <c r="E499" s="215">
        <v>5</v>
      </c>
      <c r="F499" s="215" t="s">
        <v>377</v>
      </c>
      <c r="H499" s="136" t="s">
        <v>300</v>
      </c>
      <c r="I499" s="137" t="s">
        <v>541</v>
      </c>
      <c r="J499" s="137" t="s">
        <v>302</v>
      </c>
      <c r="K499" s="138" t="s">
        <v>542</v>
      </c>
    </row>
    <row r="500" spans="1:11" hidden="1" x14ac:dyDescent="0.35">
      <c r="A500" s="215" t="s">
        <v>393</v>
      </c>
      <c r="B500" s="215" t="s">
        <v>681</v>
      </c>
      <c r="C500" s="215" t="s">
        <v>682</v>
      </c>
      <c r="D500" s="215" t="s">
        <v>377</v>
      </c>
      <c r="E500" s="215">
        <v>6</v>
      </c>
      <c r="F500" s="215" t="s">
        <v>377</v>
      </c>
      <c r="H500" s="50" t="s">
        <v>88</v>
      </c>
      <c r="I500" s="134">
        <v>800</v>
      </c>
      <c r="J500" s="134">
        <f>I500*I502</f>
        <v>1600</v>
      </c>
      <c r="K500" s="149">
        <f>J500</f>
        <v>1600</v>
      </c>
    </row>
    <row r="501" spans="1:11" hidden="1" x14ac:dyDescent="0.35">
      <c r="A501" s="219" t="s">
        <v>393</v>
      </c>
      <c r="B501" s="219" t="s">
        <v>681</v>
      </c>
      <c r="C501" s="219" t="s">
        <v>682</v>
      </c>
      <c r="D501" s="219" t="s">
        <v>377</v>
      </c>
      <c r="E501" s="219">
        <v>7</v>
      </c>
      <c r="F501" s="219" t="s">
        <v>377</v>
      </c>
      <c r="G501" s="114"/>
      <c r="H501" s="62" t="s">
        <v>89</v>
      </c>
      <c r="I501" s="72">
        <v>0.05</v>
      </c>
      <c r="J501" s="72">
        <f>IF(J502="1.25m",($I501*I502)-(SUM(QuadCoreMass,CS125Mass)*I502),$I501*I502)</f>
        <v>0.1</v>
      </c>
      <c r="K501" s="150">
        <f>J501</f>
        <v>0.1</v>
      </c>
    </row>
    <row r="502" spans="1:11" hidden="1" x14ac:dyDescent="0.35">
      <c r="A502" s="215" t="s">
        <v>393</v>
      </c>
      <c r="B502" s="215" t="s">
        <v>681</v>
      </c>
      <c r="C502" s="215" t="s">
        <v>682</v>
      </c>
      <c r="D502" s="215" t="s">
        <v>377</v>
      </c>
      <c r="E502" s="215">
        <v>8</v>
      </c>
      <c r="F502" s="215" t="s">
        <v>377</v>
      </c>
      <c r="H502" s="230" t="s">
        <v>303</v>
      </c>
      <c r="I502" s="135">
        <v>2</v>
      </c>
      <c r="J502" s="135" t="s">
        <v>45</v>
      </c>
      <c r="K502" s="134"/>
    </row>
    <row r="503" spans="1:11" s="124" customFormat="1" ht="15" hidden="1" thickBot="1" x14ac:dyDescent="0.4">
      <c r="A503" s="216" t="s">
        <v>393</v>
      </c>
      <c r="B503" s="216" t="s">
        <v>681</v>
      </c>
      <c r="C503" s="216" t="s">
        <v>682</v>
      </c>
      <c r="D503" s="216" t="s">
        <v>377</v>
      </c>
      <c r="E503" s="216">
        <v>9</v>
      </c>
      <c r="F503" s="216" t="s">
        <v>377</v>
      </c>
    </row>
    <row r="504" spans="1:11" s="16" customFormat="1" ht="18.75" hidden="1" customHeight="1" x14ac:dyDescent="0.45">
      <c r="A504" s="215" t="s">
        <v>393</v>
      </c>
      <c r="B504" s="215" t="s">
        <v>684</v>
      </c>
      <c r="C504" s="215" t="s">
        <v>685</v>
      </c>
      <c r="D504" s="215" t="s">
        <v>377</v>
      </c>
      <c r="E504" s="215">
        <v>1</v>
      </c>
      <c r="F504" s="215" t="s">
        <v>377</v>
      </c>
      <c r="H504" s="116" t="s">
        <v>384</v>
      </c>
      <c r="I504" s="116"/>
      <c r="J504" s="116"/>
      <c r="K504" s="116"/>
    </row>
    <row r="505" spans="1:11" s="16" customFormat="1" ht="18.75" hidden="1" customHeight="1" x14ac:dyDescent="0.45">
      <c r="A505" s="219" t="s">
        <v>393</v>
      </c>
      <c r="B505" s="219" t="s">
        <v>684</v>
      </c>
      <c r="C505" s="219" t="s">
        <v>685</v>
      </c>
      <c r="D505" s="219" t="s">
        <v>377</v>
      </c>
      <c r="E505" s="219">
        <v>2</v>
      </c>
      <c r="F505" s="219" t="s">
        <v>377</v>
      </c>
      <c r="G505" s="189"/>
      <c r="H505" s="115" t="s">
        <v>535</v>
      </c>
      <c r="I505" s="115" t="s">
        <v>686</v>
      </c>
      <c r="J505" s="116"/>
      <c r="K505" s="116"/>
    </row>
    <row r="506" spans="1:11" hidden="1" x14ac:dyDescent="0.35">
      <c r="A506" s="215" t="s">
        <v>393</v>
      </c>
      <c r="B506" s="215" t="s">
        <v>684</v>
      </c>
      <c r="C506" s="215" t="s">
        <v>685</v>
      </c>
      <c r="D506" s="215" t="s">
        <v>377</v>
      </c>
      <c r="E506" s="215">
        <v>3</v>
      </c>
      <c r="F506" s="215" t="s">
        <v>377</v>
      </c>
      <c r="H506" s="115" t="s">
        <v>537</v>
      </c>
      <c r="I506" s="115" t="s">
        <v>103</v>
      </c>
      <c r="J506" s="115" t="s">
        <v>539</v>
      </c>
      <c r="K506" s="100">
        <v>5800</v>
      </c>
    </row>
    <row r="507" spans="1:11" hidden="1" x14ac:dyDescent="0.35">
      <c r="A507" s="215" t="s">
        <v>393</v>
      </c>
      <c r="B507" s="215" t="s">
        <v>684</v>
      </c>
      <c r="C507" s="215" t="s">
        <v>685</v>
      </c>
      <c r="D507" s="215" t="s">
        <v>377</v>
      </c>
      <c r="E507" s="215">
        <v>4</v>
      </c>
      <c r="F507" s="215" t="s">
        <v>377</v>
      </c>
      <c r="H507" s="100" t="s">
        <v>90</v>
      </c>
      <c r="I507" s="115">
        <v>1200</v>
      </c>
      <c r="J507" s="115" t="s">
        <v>540</v>
      </c>
      <c r="K507" s="115">
        <v>6</v>
      </c>
    </row>
    <row r="508" spans="1:11" hidden="1" x14ac:dyDescent="0.35">
      <c r="A508" s="215" t="s">
        <v>393</v>
      </c>
      <c r="B508" s="215" t="s">
        <v>684</v>
      </c>
      <c r="C508" s="215" t="s">
        <v>685</v>
      </c>
      <c r="D508" s="215" t="s">
        <v>377</v>
      </c>
      <c r="E508" s="215">
        <v>5</v>
      </c>
      <c r="F508" s="215" t="s">
        <v>377</v>
      </c>
      <c r="H508" s="136" t="s">
        <v>300</v>
      </c>
      <c r="I508" s="137" t="s">
        <v>541</v>
      </c>
      <c r="J508" s="137" t="s">
        <v>302</v>
      </c>
      <c r="K508" s="138" t="s">
        <v>542</v>
      </c>
    </row>
    <row r="509" spans="1:11" hidden="1" x14ac:dyDescent="0.35">
      <c r="A509" s="215" t="s">
        <v>393</v>
      </c>
      <c r="B509" s="215" t="s">
        <v>684</v>
      </c>
      <c r="C509" s="215" t="s">
        <v>685</v>
      </c>
      <c r="D509" s="215" t="s">
        <v>377</v>
      </c>
      <c r="E509" s="215">
        <v>6</v>
      </c>
      <c r="F509" s="215" t="s">
        <v>377</v>
      </c>
      <c r="H509" s="50" t="s">
        <v>88</v>
      </c>
      <c r="I509" s="134">
        <v>1800</v>
      </c>
      <c r="J509" s="134">
        <f>I509*I511</f>
        <v>3600</v>
      </c>
      <c r="K509" s="149">
        <f>J509</f>
        <v>3600</v>
      </c>
    </row>
    <row r="510" spans="1:11" hidden="1" x14ac:dyDescent="0.35">
      <c r="A510" s="215" t="s">
        <v>393</v>
      </c>
      <c r="B510" s="215" t="s">
        <v>684</v>
      </c>
      <c r="C510" s="215" t="s">
        <v>685</v>
      </c>
      <c r="D510" s="215" t="s">
        <v>377</v>
      </c>
      <c r="E510" s="215">
        <v>7</v>
      </c>
      <c r="F510" s="215" t="s">
        <v>377</v>
      </c>
      <c r="H510" s="62" t="s">
        <v>89</v>
      </c>
      <c r="I510" s="72">
        <v>0.2</v>
      </c>
      <c r="J510" s="72">
        <f>IF(J511="1.25m",($I510*I511)-(SUM(QuadCoreMass,CS125Mass)*I511),$I510*I511)</f>
        <v>0.4</v>
      </c>
      <c r="K510" s="150">
        <f>J510</f>
        <v>0.4</v>
      </c>
    </row>
    <row r="511" spans="1:11" hidden="1" x14ac:dyDescent="0.35">
      <c r="A511" s="215" t="s">
        <v>393</v>
      </c>
      <c r="B511" s="215" t="s">
        <v>684</v>
      </c>
      <c r="C511" s="215" t="s">
        <v>685</v>
      </c>
      <c r="D511" s="215" t="s">
        <v>377</v>
      </c>
      <c r="E511" s="215">
        <v>8</v>
      </c>
      <c r="F511" s="215" t="s">
        <v>377</v>
      </c>
      <c r="H511" s="230" t="s">
        <v>303</v>
      </c>
      <c r="I511" s="135">
        <v>2</v>
      </c>
      <c r="J511" s="135" t="s">
        <v>45</v>
      </c>
      <c r="K511" s="134"/>
    </row>
    <row r="512" spans="1:11" s="124" customFormat="1" ht="15" hidden="1" thickBot="1" x14ac:dyDescent="0.4">
      <c r="A512" s="216" t="s">
        <v>393</v>
      </c>
      <c r="B512" s="216" t="s">
        <v>684</v>
      </c>
      <c r="C512" s="216" t="s">
        <v>685</v>
      </c>
      <c r="D512" s="216" t="s">
        <v>377</v>
      </c>
      <c r="E512" s="216">
        <v>9</v>
      </c>
      <c r="F512" s="216" t="s">
        <v>377</v>
      </c>
    </row>
    <row r="513" spans="1:11" s="16" customFormat="1" ht="18.75" hidden="1" customHeight="1" x14ac:dyDescent="0.45">
      <c r="A513" s="215" t="s">
        <v>393</v>
      </c>
      <c r="B513" s="215" t="s">
        <v>687</v>
      </c>
      <c r="C513" s="215" t="s">
        <v>688</v>
      </c>
      <c r="D513" s="215" t="s">
        <v>377</v>
      </c>
      <c r="E513" s="215">
        <v>1</v>
      </c>
      <c r="F513" s="215" t="s">
        <v>377</v>
      </c>
      <c r="H513" s="116" t="s">
        <v>388</v>
      </c>
      <c r="I513" s="116"/>
      <c r="J513" s="116"/>
      <c r="K513" s="116"/>
    </row>
    <row r="514" spans="1:11" hidden="1" x14ac:dyDescent="0.35">
      <c r="A514" s="215" t="s">
        <v>393</v>
      </c>
      <c r="B514" s="215" t="s">
        <v>687</v>
      </c>
      <c r="C514" s="215" t="s">
        <v>688</v>
      </c>
      <c r="D514" s="215" t="s">
        <v>377</v>
      </c>
      <c r="E514" s="215">
        <v>2</v>
      </c>
      <c r="F514" s="215" t="s">
        <v>377</v>
      </c>
      <c r="H514" s="115" t="s">
        <v>535</v>
      </c>
      <c r="I514" s="115" t="s">
        <v>387</v>
      </c>
      <c r="J514" s="115"/>
      <c r="K514" s="115"/>
    </row>
    <row r="515" spans="1:11" ht="15" hidden="1" customHeight="1" x14ac:dyDescent="0.35">
      <c r="A515" s="219" t="s">
        <v>393</v>
      </c>
      <c r="B515" s="219" t="s">
        <v>687</v>
      </c>
      <c r="C515" s="219" t="s">
        <v>688</v>
      </c>
      <c r="D515" s="219" t="s">
        <v>377</v>
      </c>
      <c r="E515" s="219">
        <v>3</v>
      </c>
      <c r="F515" s="219" t="s">
        <v>377</v>
      </c>
      <c r="G515" s="114"/>
      <c r="H515" s="115" t="s">
        <v>537</v>
      </c>
      <c r="I515" s="115" t="s">
        <v>103</v>
      </c>
      <c r="J515" s="115" t="s">
        <v>539</v>
      </c>
      <c r="K515" s="115">
        <v>2600</v>
      </c>
    </row>
    <row r="516" spans="1:11" hidden="1" x14ac:dyDescent="0.35">
      <c r="A516" s="215" t="s">
        <v>393</v>
      </c>
      <c r="B516" s="215" t="s">
        <v>687</v>
      </c>
      <c r="C516" s="215" t="s">
        <v>688</v>
      </c>
      <c r="D516" s="215" t="s">
        <v>377</v>
      </c>
      <c r="E516" s="215">
        <v>4</v>
      </c>
      <c r="F516" s="215" t="s">
        <v>377</v>
      </c>
      <c r="H516" s="100" t="s">
        <v>90</v>
      </c>
      <c r="I516" s="115">
        <v>1200</v>
      </c>
      <c r="J516" s="115" t="s">
        <v>540</v>
      </c>
      <c r="K516" s="115">
        <v>6</v>
      </c>
    </row>
    <row r="517" spans="1:11" hidden="1" x14ac:dyDescent="0.35">
      <c r="A517" s="219" t="s">
        <v>393</v>
      </c>
      <c r="B517" s="219" t="s">
        <v>687</v>
      </c>
      <c r="C517" s="219" t="s">
        <v>688</v>
      </c>
      <c r="D517" s="219" t="s">
        <v>377</v>
      </c>
      <c r="E517" s="219">
        <v>5</v>
      </c>
      <c r="F517" s="219" t="s">
        <v>377</v>
      </c>
      <c r="G517" s="114"/>
      <c r="H517" s="136" t="s">
        <v>300</v>
      </c>
      <c r="I517" s="137" t="s">
        <v>541</v>
      </c>
      <c r="J517" s="137" t="s">
        <v>302</v>
      </c>
      <c r="K517" s="138" t="s">
        <v>542</v>
      </c>
    </row>
    <row r="518" spans="1:11" hidden="1" x14ac:dyDescent="0.35">
      <c r="A518" s="215" t="s">
        <v>393</v>
      </c>
      <c r="B518" s="215" t="s">
        <v>687</v>
      </c>
      <c r="C518" s="215" t="s">
        <v>688</v>
      </c>
      <c r="D518" s="215" t="s">
        <v>377</v>
      </c>
      <c r="E518" s="215">
        <v>6</v>
      </c>
      <c r="F518" s="215" t="s">
        <v>377</v>
      </c>
      <c r="H518" s="50" t="s">
        <v>88</v>
      </c>
      <c r="I518" s="134">
        <f>880+900</f>
        <v>1780</v>
      </c>
      <c r="J518" s="134">
        <f>I518*I520</f>
        <v>1780</v>
      </c>
      <c r="K518" s="149">
        <f>J518</f>
        <v>1780</v>
      </c>
    </row>
    <row r="519" spans="1:11" hidden="1" x14ac:dyDescent="0.35">
      <c r="A519" s="215" t="s">
        <v>393</v>
      </c>
      <c r="B519" s="215" t="s">
        <v>687</v>
      </c>
      <c r="C519" s="215" t="s">
        <v>688</v>
      </c>
      <c r="D519" s="215" t="s">
        <v>377</v>
      </c>
      <c r="E519" s="215">
        <v>7</v>
      </c>
      <c r="F519" s="215" t="s">
        <v>377</v>
      </c>
      <c r="H519" s="62" t="s">
        <v>89</v>
      </c>
      <c r="I519" s="72">
        <f>0.005+0.005</f>
        <v>0.01</v>
      </c>
      <c r="J519" s="72">
        <f>IF(J520="1.25m",($I519*I520)-(SUM(QuadCoreMass,CS125Mass)*I520),$I519*I520)</f>
        <v>0.01</v>
      </c>
      <c r="K519" s="150">
        <f>J519</f>
        <v>0.01</v>
      </c>
    </row>
    <row r="520" spans="1:11" hidden="1" x14ac:dyDescent="0.35">
      <c r="A520" s="215" t="s">
        <v>393</v>
      </c>
      <c r="B520" s="215" t="s">
        <v>687</v>
      </c>
      <c r="C520" s="215" t="s">
        <v>688</v>
      </c>
      <c r="D520" s="215" t="s">
        <v>377</v>
      </c>
      <c r="E520" s="215">
        <v>8</v>
      </c>
      <c r="F520" s="215" t="s">
        <v>377</v>
      </c>
      <c r="H520" s="230" t="s">
        <v>303</v>
      </c>
      <c r="I520" s="135">
        <v>1</v>
      </c>
      <c r="J520" s="135" t="s">
        <v>45</v>
      </c>
      <c r="K520" s="134"/>
    </row>
    <row r="521" spans="1:11" s="124" customFormat="1" ht="15" hidden="1" thickBot="1" x14ac:dyDescent="0.4">
      <c r="A521" s="216" t="s">
        <v>393</v>
      </c>
      <c r="B521" s="216" t="s">
        <v>687</v>
      </c>
      <c r="C521" s="216" t="s">
        <v>688</v>
      </c>
      <c r="D521" s="216" t="s">
        <v>377</v>
      </c>
      <c r="E521" s="216">
        <v>9</v>
      </c>
      <c r="F521" s="216" t="s">
        <v>377</v>
      </c>
    </row>
    <row r="522" spans="1:11" ht="18.75" hidden="1" customHeight="1" x14ac:dyDescent="0.45">
      <c r="A522" s="215" t="s">
        <v>599</v>
      </c>
      <c r="B522" s="215" t="s">
        <v>689</v>
      </c>
      <c r="C522" s="215" t="s">
        <v>690</v>
      </c>
      <c r="D522" s="215" t="s">
        <v>377</v>
      </c>
      <c r="E522" s="215">
        <v>1</v>
      </c>
      <c r="F522" s="215" t="s">
        <v>377</v>
      </c>
      <c r="H522" s="116" t="s">
        <v>691</v>
      </c>
      <c r="I522" s="116"/>
      <c r="J522" s="116"/>
      <c r="K522" s="116"/>
    </row>
    <row r="523" spans="1:11" hidden="1" x14ac:dyDescent="0.35">
      <c r="A523" s="219" t="s">
        <v>599</v>
      </c>
      <c r="B523" s="219" t="s">
        <v>689</v>
      </c>
      <c r="C523" s="219" t="s">
        <v>690</v>
      </c>
      <c r="D523" s="219" t="s">
        <v>377</v>
      </c>
      <c r="E523" s="219">
        <v>2</v>
      </c>
      <c r="F523" s="219" t="s">
        <v>377</v>
      </c>
      <c r="G523" s="114"/>
      <c r="H523" s="115" t="s">
        <v>535</v>
      </c>
      <c r="I523" s="115" t="s">
        <v>692</v>
      </c>
      <c r="J523" s="115"/>
      <c r="K523" s="115"/>
    </row>
    <row r="524" spans="1:11" hidden="1" x14ac:dyDescent="0.35">
      <c r="A524" s="219" t="s">
        <v>599</v>
      </c>
      <c r="B524" s="219" t="s">
        <v>689</v>
      </c>
      <c r="C524" s="219" t="s">
        <v>690</v>
      </c>
      <c r="D524" s="219" t="s">
        <v>377</v>
      </c>
      <c r="E524" s="219">
        <v>3</v>
      </c>
      <c r="F524" s="219" t="s">
        <v>377</v>
      </c>
      <c r="G524" s="114"/>
      <c r="H524" s="115" t="s">
        <v>537</v>
      </c>
      <c r="I524" s="115" t="s">
        <v>103</v>
      </c>
      <c r="J524" s="115" t="s">
        <v>539</v>
      </c>
      <c r="K524" s="115">
        <v>750</v>
      </c>
    </row>
    <row r="525" spans="1:11" hidden="1" x14ac:dyDescent="0.35">
      <c r="A525" s="215" t="s">
        <v>599</v>
      </c>
      <c r="B525" s="215" t="s">
        <v>689</v>
      </c>
      <c r="C525" s="215" t="s">
        <v>690</v>
      </c>
      <c r="D525" s="215" t="s">
        <v>377</v>
      </c>
      <c r="E525" s="215">
        <v>4</v>
      </c>
      <c r="F525" s="215" t="s">
        <v>377</v>
      </c>
      <c r="H525" s="115" t="s">
        <v>90</v>
      </c>
      <c r="I525" s="115">
        <v>1200</v>
      </c>
      <c r="J525" s="115" t="s">
        <v>540</v>
      </c>
      <c r="K525" s="115">
        <v>15</v>
      </c>
    </row>
    <row r="526" spans="1:11" hidden="1" x14ac:dyDescent="0.35">
      <c r="A526" s="215" t="s">
        <v>599</v>
      </c>
      <c r="B526" s="215" t="s">
        <v>689</v>
      </c>
      <c r="C526" s="215" t="s">
        <v>690</v>
      </c>
      <c r="D526" s="215" t="s">
        <v>377</v>
      </c>
      <c r="E526" s="215">
        <v>5</v>
      </c>
      <c r="F526" s="215" t="s">
        <v>377</v>
      </c>
      <c r="H526" s="136" t="s">
        <v>300</v>
      </c>
      <c r="I526" s="137" t="s">
        <v>541</v>
      </c>
      <c r="J526" s="137" t="s">
        <v>302</v>
      </c>
      <c r="K526" s="138" t="s">
        <v>542</v>
      </c>
    </row>
    <row r="527" spans="1:11" hidden="1" x14ac:dyDescent="0.35">
      <c r="A527" s="215" t="s">
        <v>599</v>
      </c>
      <c r="B527" s="215" t="s">
        <v>689</v>
      </c>
      <c r="C527" s="215" t="s">
        <v>690</v>
      </c>
      <c r="D527" s="215" t="s">
        <v>377</v>
      </c>
      <c r="E527" s="215">
        <v>6</v>
      </c>
      <c r="F527" s="215" t="s">
        <v>377</v>
      </c>
      <c r="H527" s="62" t="s">
        <v>693</v>
      </c>
      <c r="I527" s="72">
        <v>3</v>
      </c>
      <c r="J527" s="72">
        <f>I527*I530</f>
        <v>3</v>
      </c>
      <c r="K527" s="155">
        <f>J527</f>
        <v>3</v>
      </c>
    </row>
    <row r="528" spans="1:11" hidden="1" x14ac:dyDescent="0.35">
      <c r="A528" s="215" t="s">
        <v>599</v>
      </c>
      <c r="B528" s="215" t="s">
        <v>689</v>
      </c>
      <c r="C528" s="215" t="s">
        <v>690</v>
      </c>
      <c r="D528" s="215" t="s">
        <v>377</v>
      </c>
      <c r="E528" s="215">
        <v>7</v>
      </c>
      <c r="F528" s="215" t="s">
        <v>377</v>
      </c>
      <c r="H528" s="50" t="s">
        <v>88</v>
      </c>
      <c r="I528" s="134">
        <v>200</v>
      </c>
      <c r="J528" s="134">
        <f>I528*I530</f>
        <v>200</v>
      </c>
      <c r="K528" s="149">
        <f>J528</f>
        <v>200</v>
      </c>
    </row>
    <row r="529" spans="1:21" hidden="1" x14ac:dyDescent="0.35">
      <c r="A529" s="215" t="s">
        <v>599</v>
      </c>
      <c r="B529" s="215" t="s">
        <v>689</v>
      </c>
      <c r="C529" s="215" t="s">
        <v>690</v>
      </c>
      <c r="D529" s="215" t="s">
        <v>377</v>
      </c>
      <c r="E529" s="215">
        <v>8</v>
      </c>
      <c r="F529" s="215" t="s">
        <v>377</v>
      </c>
      <c r="H529" s="62" t="s">
        <v>89</v>
      </c>
      <c r="I529" s="72">
        <v>0.05</v>
      </c>
      <c r="J529" s="72">
        <f>IF(J530="1.25m",($I529*I530)-(SUM(QuadCoreMass,CS125Mass)*I530),$I529*I530)</f>
        <v>0.05</v>
      </c>
      <c r="K529" s="150">
        <f>J529</f>
        <v>0.05</v>
      </c>
    </row>
    <row r="530" spans="1:21" hidden="1" x14ac:dyDescent="0.35">
      <c r="A530" s="215" t="s">
        <v>599</v>
      </c>
      <c r="B530" s="215" t="s">
        <v>689</v>
      </c>
      <c r="C530" s="215" t="s">
        <v>690</v>
      </c>
      <c r="D530" s="215" t="s">
        <v>377</v>
      </c>
      <c r="E530" s="215">
        <v>9</v>
      </c>
      <c r="F530" s="215" t="s">
        <v>377</v>
      </c>
      <c r="H530" s="230" t="s">
        <v>303</v>
      </c>
      <c r="I530" s="135">
        <v>1</v>
      </c>
      <c r="J530" s="135" t="s">
        <v>45</v>
      </c>
      <c r="K530" s="134"/>
    </row>
    <row r="531" spans="1:21" s="124" customFormat="1" ht="15" hidden="1" thickBot="1" x14ac:dyDescent="0.4">
      <c r="A531" s="216" t="s">
        <v>599</v>
      </c>
      <c r="B531" s="216" t="s">
        <v>689</v>
      </c>
      <c r="C531" s="216" t="s">
        <v>690</v>
      </c>
      <c r="D531" s="216" t="s">
        <v>377</v>
      </c>
      <c r="E531" s="216">
        <v>10</v>
      </c>
      <c r="F531" s="216" t="s">
        <v>377</v>
      </c>
    </row>
    <row r="532" spans="1:21" ht="18.5" hidden="1" x14ac:dyDescent="0.45">
      <c r="A532" s="215" t="s">
        <v>295</v>
      </c>
      <c r="B532" s="215" t="s">
        <v>78</v>
      </c>
      <c r="C532" s="215" t="s">
        <v>694</v>
      </c>
      <c r="D532" s="215" t="s">
        <v>420</v>
      </c>
      <c r="E532" s="215">
        <v>1</v>
      </c>
      <c r="F532" s="215" t="s">
        <v>695</v>
      </c>
      <c r="H532" s="225" t="s">
        <v>363</v>
      </c>
      <c r="I532" s="225"/>
      <c r="J532" s="225"/>
      <c r="K532" s="225"/>
      <c r="M532" s="214"/>
      <c r="N532" s="214"/>
      <c r="O532" s="214"/>
      <c r="P532" s="214"/>
      <c r="R532" s="223"/>
      <c r="S532" s="223"/>
      <c r="T532" s="223"/>
      <c r="U532" s="223"/>
    </row>
    <row r="533" spans="1:21" ht="15" hidden="1" customHeight="1" x14ac:dyDescent="0.35">
      <c r="A533" s="215" t="s">
        <v>295</v>
      </c>
      <c r="B533" s="215" t="s">
        <v>78</v>
      </c>
      <c r="C533" s="215" t="s">
        <v>694</v>
      </c>
      <c r="D533" s="215" t="s">
        <v>420</v>
      </c>
      <c r="E533" s="215">
        <v>2</v>
      </c>
      <c r="F533" s="215" t="s">
        <v>695</v>
      </c>
      <c r="H533" s="115" t="s">
        <v>535</v>
      </c>
      <c r="I533" s="115" t="s">
        <v>364</v>
      </c>
      <c r="J533" s="115"/>
      <c r="K533" s="115"/>
      <c r="R533" s="114"/>
      <c r="S533" s="114"/>
      <c r="T533" s="114"/>
      <c r="U533" s="114"/>
    </row>
    <row r="534" spans="1:21" ht="15" hidden="1" customHeight="1" x14ac:dyDescent="0.35">
      <c r="A534" s="215" t="s">
        <v>295</v>
      </c>
      <c r="B534" s="215" t="s">
        <v>78</v>
      </c>
      <c r="C534" s="215" t="s">
        <v>694</v>
      </c>
      <c r="D534" s="215" t="s">
        <v>420</v>
      </c>
      <c r="E534" s="215">
        <v>3</v>
      </c>
      <c r="F534" s="215" t="s">
        <v>695</v>
      </c>
      <c r="H534" s="115" t="s">
        <v>537</v>
      </c>
      <c r="I534" s="115" t="s">
        <v>566</v>
      </c>
      <c r="J534" s="115" t="s">
        <v>539</v>
      </c>
      <c r="K534" s="115">
        <v>7000</v>
      </c>
      <c r="R534" s="114"/>
      <c r="S534" s="114"/>
      <c r="T534" s="114"/>
      <c r="U534" s="114"/>
    </row>
    <row r="535" spans="1:21" ht="15" hidden="1" customHeight="1" x14ac:dyDescent="0.35">
      <c r="A535" s="215" t="s">
        <v>295</v>
      </c>
      <c r="B535" s="215" t="s">
        <v>78</v>
      </c>
      <c r="C535" s="215" t="s">
        <v>694</v>
      </c>
      <c r="D535" s="215" t="s">
        <v>420</v>
      </c>
      <c r="E535" s="215">
        <v>4</v>
      </c>
      <c r="F535" s="215" t="s">
        <v>695</v>
      </c>
      <c r="H535" s="115" t="s">
        <v>90</v>
      </c>
      <c r="I535" s="115">
        <v>3200</v>
      </c>
      <c r="J535" s="115" t="s">
        <v>540</v>
      </c>
      <c r="K535" s="115">
        <v>12</v>
      </c>
      <c r="R535" s="114"/>
      <c r="S535" s="114"/>
      <c r="T535" s="114"/>
      <c r="U535" s="114"/>
    </row>
    <row r="536" spans="1:21" hidden="1" x14ac:dyDescent="0.35">
      <c r="A536" s="215" t="s">
        <v>295</v>
      </c>
      <c r="B536" s="215" t="s">
        <v>78</v>
      </c>
      <c r="C536" s="215" t="s">
        <v>694</v>
      </c>
      <c r="D536" s="215" t="s">
        <v>420</v>
      </c>
      <c r="E536" s="215">
        <v>5</v>
      </c>
      <c r="F536" s="215" t="s">
        <v>695</v>
      </c>
      <c r="H536" s="136" t="s">
        <v>300</v>
      </c>
      <c r="I536" s="137" t="s">
        <v>541</v>
      </c>
      <c r="J536" s="137" t="s">
        <v>302</v>
      </c>
      <c r="K536" s="138" t="s">
        <v>542</v>
      </c>
      <c r="R536" s="183"/>
      <c r="S536" s="183"/>
      <c r="T536" s="183"/>
      <c r="U536" s="183"/>
    </row>
    <row r="537" spans="1:21" hidden="1" x14ac:dyDescent="0.35">
      <c r="A537" s="219" t="s">
        <v>295</v>
      </c>
      <c r="B537" s="219" t="s">
        <v>78</v>
      </c>
      <c r="C537" s="219" t="s">
        <v>694</v>
      </c>
      <c r="D537" s="219" t="s">
        <v>420</v>
      </c>
      <c r="E537" s="219">
        <v>6</v>
      </c>
      <c r="F537" s="219" t="s">
        <v>695</v>
      </c>
      <c r="G537" s="114"/>
      <c r="H537" s="50" t="s">
        <v>25</v>
      </c>
      <c r="I537" s="167">
        <v>8.3498502930881802E-5</v>
      </c>
      <c r="J537" s="167">
        <f>I537*$I$543</f>
        <v>1.669970058617636E-4</v>
      </c>
      <c r="K537" s="198">
        <f t="shared" ref="K537:K542" si="4">J537</f>
        <v>1.669970058617636E-4</v>
      </c>
      <c r="L537" s="114"/>
      <c r="M537" s="114"/>
      <c r="N537" s="114"/>
      <c r="O537" s="114"/>
      <c r="P537" s="114"/>
      <c r="Q537" s="114"/>
      <c r="R537" s="114"/>
      <c r="S537" s="182"/>
      <c r="T537" s="182"/>
      <c r="U537" s="184"/>
    </row>
    <row r="538" spans="1:21" hidden="1" x14ac:dyDescent="0.35">
      <c r="A538" s="215" t="s">
        <v>295</v>
      </c>
      <c r="B538" s="215" t="s">
        <v>78</v>
      </c>
      <c r="C538" s="215" t="s">
        <v>694</v>
      </c>
      <c r="D538" s="215" t="s">
        <v>420</v>
      </c>
      <c r="E538" s="215">
        <v>7</v>
      </c>
      <c r="F538" s="215" t="s">
        <v>695</v>
      </c>
      <c r="H538" s="50" t="s">
        <v>282</v>
      </c>
      <c r="I538" s="167">
        <v>2</v>
      </c>
      <c r="J538" s="167">
        <f>I538*$I$543</f>
        <v>4</v>
      </c>
      <c r="K538" s="149">
        <f t="shared" si="4"/>
        <v>4</v>
      </c>
      <c r="R538" s="114"/>
      <c r="S538" s="182"/>
      <c r="T538" s="182"/>
      <c r="U538" s="185"/>
    </row>
    <row r="539" spans="1:21" hidden="1" x14ac:dyDescent="0.35">
      <c r="A539" s="215" t="s">
        <v>295</v>
      </c>
      <c r="B539" s="215" t="s">
        <v>78</v>
      </c>
      <c r="C539" s="215" t="s">
        <v>694</v>
      </c>
      <c r="D539" s="215" t="s">
        <v>420</v>
      </c>
      <c r="E539" s="215">
        <v>8</v>
      </c>
      <c r="F539" s="215" t="s">
        <v>695</v>
      </c>
      <c r="H539" s="50" t="s">
        <v>23</v>
      </c>
      <c r="I539" s="167">
        <v>0.10387808466636411</v>
      </c>
      <c r="J539" s="167">
        <f>I539*$I$543</f>
        <v>0.20775616933272822</v>
      </c>
      <c r="K539" s="175">
        <f t="shared" si="4"/>
        <v>0.20775616933272822</v>
      </c>
      <c r="R539" s="114"/>
      <c r="S539" s="182"/>
      <c r="T539" s="182"/>
      <c r="U539" s="186"/>
    </row>
    <row r="540" spans="1:21" hidden="1" x14ac:dyDescent="0.35">
      <c r="A540" s="215" t="s">
        <v>295</v>
      </c>
      <c r="B540" s="215" t="s">
        <v>78</v>
      </c>
      <c r="C540" s="215" t="s">
        <v>694</v>
      </c>
      <c r="D540" s="215" t="s">
        <v>420</v>
      </c>
      <c r="E540" s="215">
        <v>9</v>
      </c>
      <c r="F540" s="215" t="s">
        <v>695</v>
      </c>
      <c r="H540" s="50" t="s">
        <v>19</v>
      </c>
      <c r="I540" s="167">
        <v>5.1611100560550981E-2</v>
      </c>
      <c r="J540" s="167">
        <f>I540*$I$543</f>
        <v>0.10322220112110196</v>
      </c>
      <c r="K540" s="175">
        <f t="shared" si="4"/>
        <v>0.10322220112110196</v>
      </c>
      <c r="R540" s="114"/>
      <c r="S540" s="182"/>
      <c r="T540" s="182"/>
      <c r="U540" s="186"/>
    </row>
    <row r="541" spans="1:21" hidden="1" x14ac:dyDescent="0.35">
      <c r="A541" s="215" t="s">
        <v>295</v>
      </c>
      <c r="B541" s="215" t="s">
        <v>78</v>
      </c>
      <c r="C541" s="215" t="s">
        <v>694</v>
      </c>
      <c r="D541" s="215" t="s">
        <v>420</v>
      </c>
      <c r="E541" s="215">
        <v>10</v>
      </c>
      <c r="F541" s="215" t="s">
        <v>695</v>
      </c>
      <c r="H541" s="50" t="s">
        <v>88</v>
      </c>
      <c r="I541" s="134">
        <v>2100</v>
      </c>
      <c r="J541" s="134">
        <f>I541*$I$543</f>
        <v>4200</v>
      </c>
      <c r="K541" s="149">
        <f t="shared" si="4"/>
        <v>4200</v>
      </c>
      <c r="R541" s="114"/>
      <c r="S541" s="114"/>
      <c r="T541" s="182"/>
      <c r="U541" s="185"/>
    </row>
    <row r="542" spans="1:21" hidden="1" x14ac:dyDescent="0.35">
      <c r="A542" s="215" t="s">
        <v>295</v>
      </c>
      <c r="B542" s="215" t="s">
        <v>78</v>
      </c>
      <c r="C542" s="215" t="s">
        <v>694</v>
      </c>
      <c r="D542" s="215" t="s">
        <v>420</v>
      </c>
      <c r="E542" s="215">
        <v>11</v>
      </c>
      <c r="F542" s="215" t="s">
        <v>695</v>
      </c>
      <c r="H542" s="62" t="s">
        <v>89</v>
      </c>
      <c r="I542" s="72">
        <v>0.48</v>
      </c>
      <c r="J542" s="72">
        <f>IF(J543="1.25m",($I542*I543)-(SUM(QuadCoreMass,CS125Mass)*I543),$I542*I543)</f>
        <v>0.96</v>
      </c>
      <c r="K542" s="150">
        <f t="shared" si="4"/>
        <v>0.96</v>
      </c>
      <c r="R542" s="114"/>
      <c r="S542" s="114"/>
      <c r="T542" s="114"/>
      <c r="U542" s="186"/>
    </row>
    <row r="543" spans="1:21" hidden="1" x14ac:dyDescent="0.35">
      <c r="A543" s="215" t="s">
        <v>295</v>
      </c>
      <c r="B543" s="215" t="s">
        <v>78</v>
      </c>
      <c r="C543" s="215" t="s">
        <v>694</v>
      </c>
      <c r="D543" s="215" t="s">
        <v>420</v>
      </c>
      <c r="E543" s="215">
        <v>12</v>
      </c>
      <c r="F543" s="215" t="s">
        <v>695</v>
      </c>
      <c r="H543" s="230" t="s">
        <v>303</v>
      </c>
      <c r="I543" s="135">
        <v>2</v>
      </c>
      <c r="J543" s="135" t="s">
        <v>44</v>
      </c>
      <c r="K543" s="134"/>
      <c r="R543" s="187"/>
      <c r="S543" s="188"/>
      <c r="T543" s="188"/>
      <c r="U543" s="114"/>
    </row>
    <row r="544" spans="1:21" s="124" customFormat="1" ht="15" hidden="1" thickBot="1" x14ac:dyDescent="0.4">
      <c r="A544" s="216" t="s">
        <v>295</v>
      </c>
      <c r="B544" s="216" t="s">
        <v>78</v>
      </c>
      <c r="C544" s="216" t="s">
        <v>694</v>
      </c>
      <c r="D544" s="216" t="s">
        <v>420</v>
      </c>
      <c r="E544" s="216">
        <v>13</v>
      </c>
      <c r="F544" s="216" t="s">
        <v>695</v>
      </c>
    </row>
    <row r="545" spans="1:31" ht="18.75" hidden="1" customHeight="1" x14ac:dyDescent="0.45">
      <c r="A545" s="215" t="s">
        <v>295</v>
      </c>
      <c r="B545" s="215" t="s">
        <v>79</v>
      </c>
      <c r="C545" s="215" t="s">
        <v>696</v>
      </c>
      <c r="D545" s="215" t="s">
        <v>420</v>
      </c>
      <c r="E545" s="215">
        <v>1</v>
      </c>
      <c r="F545" s="215" t="s">
        <v>695</v>
      </c>
      <c r="H545" s="197"/>
      <c r="I545" s="197"/>
      <c r="J545" s="197"/>
      <c r="K545" s="197"/>
      <c r="M545" s="225" t="s">
        <v>365</v>
      </c>
      <c r="N545" s="225"/>
      <c r="O545" s="225"/>
      <c r="P545" s="211"/>
      <c r="Q545" s="16"/>
      <c r="R545" s="223"/>
      <c r="S545" s="223"/>
      <c r="T545" s="223"/>
      <c r="U545" s="223"/>
      <c r="W545" s="181"/>
      <c r="X545" s="181"/>
      <c r="Y545" s="181"/>
      <c r="Z545" s="181"/>
      <c r="AB545" s="181"/>
      <c r="AC545" s="181"/>
      <c r="AD545" s="181"/>
      <c r="AE545" s="181"/>
    </row>
    <row r="546" spans="1:31" hidden="1" x14ac:dyDescent="0.35">
      <c r="A546" s="215" t="s">
        <v>295</v>
      </c>
      <c r="B546" s="215" t="s">
        <v>79</v>
      </c>
      <c r="C546" s="215" t="s">
        <v>696</v>
      </c>
      <c r="D546" s="215" t="s">
        <v>420</v>
      </c>
      <c r="E546" s="215">
        <v>2</v>
      </c>
      <c r="F546" s="215" t="s">
        <v>695</v>
      </c>
      <c r="H546" s="197"/>
      <c r="I546" s="197"/>
      <c r="J546" s="197"/>
      <c r="K546" s="197"/>
      <c r="M546" s="100" t="s">
        <v>535</v>
      </c>
      <c r="N546" s="227" t="s">
        <v>366</v>
      </c>
      <c r="O546" s="227"/>
      <c r="P546" s="212"/>
      <c r="R546" s="114"/>
      <c r="S546" s="228"/>
      <c r="T546" s="228"/>
      <c r="U546" s="228"/>
      <c r="W546" s="181"/>
      <c r="X546" s="181"/>
      <c r="Y546" s="181"/>
      <c r="Z546" s="181"/>
      <c r="AB546" s="181"/>
      <c r="AC546" s="181"/>
      <c r="AD546" s="181"/>
      <c r="AE546" s="181"/>
    </row>
    <row r="547" spans="1:31" hidden="1" x14ac:dyDescent="0.35">
      <c r="A547" s="219" t="s">
        <v>295</v>
      </c>
      <c r="B547" s="219" t="s">
        <v>79</v>
      </c>
      <c r="C547" s="219" t="s">
        <v>696</v>
      </c>
      <c r="D547" s="219" t="s">
        <v>420</v>
      </c>
      <c r="E547" s="219">
        <v>3</v>
      </c>
      <c r="F547" s="219" t="s">
        <v>695</v>
      </c>
      <c r="G547" s="114"/>
      <c r="H547" s="197"/>
      <c r="I547" s="197"/>
      <c r="J547" s="197"/>
      <c r="K547" s="197"/>
      <c r="L547" s="114"/>
      <c r="M547" s="115" t="s">
        <v>537</v>
      </c>
      <c r="N547" s="240" t="s">
        <v>697</v>
      </c>
      <c r="O547" s="115" t="s">
        <v>539</v>
      </c>
      <c r="P547" s="240">
        <v>11000</v>
      </c>
      <c r="Q547" s="114"/>
      <c r="R547" s="114"/>
      <c r="S547" s="213"/>
      <c r="T547" s="213"/>
      <c r="U547" s="213"/>
      <c r="V547" s="114"/>
      <c r="W547" s="197"/>
      <c r="X547" s="197"/>
      <c r="Y547" s="197"/>
      <c r="Z547" s="197"/>
      <c r="AA547" s="114"/>
      <c r="AB547" s="197"/>
      <c r="AC547" s="197"/>
      <c r="AD547" s="197"/>
      <c r="AE547" s="197"/>
    </row>
    <row r="548" spans="1:31" hidden="1" x14ac:dyDescent="0.35">
      <c r="A548" s="215" t="s">
        <v>295</v>
      </c>
      <c r="B548" s="215" t="s">
        <v>79</v>
      </c>
      <c r="C548" s="215" t="s">
        <v>696</v>
      </c>
      <c r="D548" s="215" t="s">
        <v>420</v>
      </c>
      <c r="E548" s="215">
        <v>4</v>
      </c>
      <c r="F548" s="215" t="s">
        <v>695</v>
      </c>
      <c r="H548" s="197"/>
      <c r="I548" s="197"/>
      <c r="J548" s="197"/>
      <c r="K548" s="197"/>
      <c r="M548" s="100" t="s">
        <v>90</v>
      </c>
      <c r="N548" s="212">
        <v>3200</v>
      </c>
      <c r="O548" s="115" t="s">
        <v>540</v>
      </c>
      <c r="P548" s="212">
        <v>12</v>
      </c>
      <c r="R548" s="114"/>
      <c r="S548" s="213"/>
      <c r="T548" s="213"/>
      <c r="U548" s="213"/>
      <c r="W548" s="181"/>
      <c r="X548" s="181"/>
      <c r="Y548" s="181"/>
      <c r="Z548" s="181"/>
      <c r="AB548" s="181"/>
      <c r="AC548" s="181"/>
      <c r="AD548" s="181"/>
      <c r="AE548" s="181"/>
    </row>
    <row r="549" spans="1:31" hidden="1" x14ac:dyDescent="0.35">
      <c r="A549" s="215" t="s">
        <v>295</v>
      </c>
      <c r="B549" s="215" t="s">
        <v>79</v>
      </c>
      <c r="C549" s="215" t="s">
        <v>696</v>
      </c>
      <c r="D549" s="215" t="s">
        <v>420</v>
      </c>
      <c r="E549" s="215">
        <v>5</v>
      </c>
      <c r="F549" s="215" t="s">
        <v>695</v>
      </c>
      <c r="H549" s="197"/>
      <c r="I549" s="197"/>
      <c r="J549" s="197"/>
      <c r="K549" s="197"/>
      <c r="M549" s="136" t="s">
        <v>300</v>
      </c>
      <c r="N549" s="137" t="s">
        <v>541</v>
      </c>
      <c r="O549" s="137" t="s">
        <v>302</v>
      </c>
      <c r="P549" s="138" t="s">
        <v>542</v>
      </c>
      <c r="R549" s="183"/>
      <c r="S549" s="183"/>
      <c r="T549" s="183"/>
      <c r="U549" s="183"/>
      <c r="V549"/>
      <c r="W549" s="181"/>
      <c r="X549" s="181"/>
      <c r="Y549" s="181"/>
      <c r="Z549" s="181"/>
      <c r="AB549" s="181"/>
      <c r="AC549" s="181"/>
      <c r="AD549" s="181"/>
      <c r="AE549" s="181"/>
    </row>
    <row r="550" spans="1:31" hidden="1" x14ac:dyDescent="0.35">
      <c r="A550" s="215" t="s">
        <v>295</v>
      </c>
      <c r="B550" s="215" t="s">
        <v>79</v>
      </c>
      <c r="C550" s="215" t="s">
        <v>696</v>
      </c>
      <c r="D550" s="215" t="s">
        <v>420</v>
      </c>
      <c r="E550" s="215">
        <v>6</v>
      </c>
      <c r="F550" s="215" t="s">
        <v>695</v>
      </c>
      <c r="H550" s="181"/>
      <c r="I550" s="181"/>
      <c r="J550" s="181"/>
      <c r="K550" s="181"/>
      <c r="M550" s="50" t="s">
        <v>81</v>
      </c>
      <c r="N550" s="134">
        <f>0.000851605032367*3.06</f>
        <v>2.6059113990430202E-3</v>
      </c>
      <c r="O550" s="134">
        <f t="shared" ref="O550:O557" si="5">N550*$N$558</f>
        <v>2.8665025389473225E-3</v>
      </c>
      <c r="P550" s="175">
        <f t="shared" ref="P550:P557" si="6">O550</f>
        <v>2.8665025389473225E-3</v>
      </c>
      <c r="R550" s="114"/>
      <c r="S550" s="114"/>
      <c r="T550" s="114"/>
      <c r="U550" s="114"/>
      <c r="W550" s="181"/>
      <c r="X550" s="181"/>
      <c r="Y550" s="181"/>
      <c r="Z550" s="181"/>
      <c r="AB550" s="181"/>
      <c r="AC550" s="181"/>
      <c r="AD550" s="181"/>
      <c r="AE550" s="181"/>
    </row>
    <row r="551" spans="1:31" hidden="1" x14ac:dyDescent="0.35">
      <c r="A551" s="215" t="s">
        <v>295</v>
      </c>
      <c r="B551" s="215" t="s">
        <v>79</v>
      </c>
      <c r="C551" s="215" t="s">
        <v>696</v>
      </c>
      <c r="D551" s="215" t="s">
        <v>420</v>
      </c>
      <c r="E551" s="215">
        <v>7</v>
      </c>
      <c r="F551" s="215" t="s">
        <v>695</v>
      </c>
      <c r="H551" s="181"/>
      <c r="I551" s="181"/>
      <c r="J551" s="181"/>
      <c r="K551" s="181"/>
      <c r="M551" s="50" t="s">
        <v>19</v>
      </c>
      <c r="N551" s="134">
        <v>1.0423645596172081E-2</v>
      </c>
      <c r="O551" s="134">
        <f t="shared" si="5"/>
        <v>1.146601015578929E-2</v>
      </c>
      <c r="P551" s="175">
        <f t="shared" si="6"/>
        <v>1.146601015578929E-2</v>
      </c>
      <c r="R551" s="114"/>
      <c r="S551" s="114"/>
      <c r="T551" s="114"/>
      <c r="U551" s="114"/>
      <c r="W551" s="181"/>
      <c r="X551" s="181"/>
      <c r="Y551" s="181"/>
      <c r="Z551" s="181"/>
      <c r="AB551" s="181"/>
      <c r="AC551" s="181"/>
      <c r="AD551" s="181"/>
      <c r="AE551" s="181"/>
    </row>
    <row r="552" spans="1:31" hidden="1" x14ac:dyDescent="0.35">
      <c r="A552" s="215" t="s">
        <v>295</v>
      </c>
      <c r="B552" s="215" t="s">
        <v>79</v>
      </c>
      <c r="C552" s="215" t="s">
        <v>696</v>
      </c>
      <c r="D552" s="215" t="s">
        <v>420</v>
      </c>
      <c r="E552" s="215">
        <v>8</v>
      </c>
      <c r="F552" s="215" t="s">
        <v>695</v>
      </c>
      <c r="H552" s="197"/>
      <c r="I552" s="197"/>
      <c r="J552" s="197"/>
      <c r="K552" s="197"/>
      <c r="M552" s="50" t="s">
        <v>282</v>
      </c>
      <c r="N552" s="134">
        <v>1.8241379793301142</v>
      </c>
      <c r="O552" s="134">
        <f t="shared" si="5"/>
        <v>2.0065517772631258</v>
      </c>
      <c r="P552" s="173">
        <f t="shared" si="6"/>
        <v>2.0065517772631258</v>
      </c>
      <c r="R552" s="114"/>
      <c r="S552" s="114"/>
      <c r="T552" s="114"/>
      <c r="U552" s="114"/>
      <c r="W552" s="181"/>
      <c r="X552" s="181"/>
      <c r="Y552" s="181"/>
      <c r="Z552" s="181"/>
      <c r="AB552" s="181"/>
      <c r="AC552" s="181"/>
      <c r="AD552" s="181"/>
      <c r="AE552" s="181"/>
    </row>
    <row r="553" spans="1:31" hidden="1" x14ac:dyDescent="0.35">
      <c r="A553" s="215" t="s">
        <v>295</v>
      </c>
      <c r="B553" s="215" t="s">
        <v>79</v>
      </c>
      <c r="C553" s="215" t="s">
        <v>696</v>
      </c>
      <c r="D553" s="215" t="s">
        <v>420</v>
      </c>
      <c r="E553" s="215">
        <v>9</v>
      </c>
      <c r="F553" s="215" t="s">
        <v>695</v>
      </c>
      <c r="H553" s="197"/>
      <c r="I553" s="181"/>
      <c r="J553" s="181"/>
      <c r="K553" s="197"/>
      <c r="M553" s="50" t="s">
        <v>25</v>
      </c>
      <c r="N553" s="134">
        <v>5.2118227980860405E-3</v>
      </c>
      <c r="O553" s="134">
        <f t="shared" si="5"/>
        <v>5.7330050778946449E-3</v>
      </c>
      <c r="P553" s="175">
        <f t="shared" si="6"/>
        <v>5.7330050778946449E-3</v>
      </c>
      <c r="R553" s="114"/>
      <c r="S553" s="114"/>
      <c r="T553" s="114"/>
      <c r="U553" s="114"/>
      <c r="W553" s="181"/>
      <c r="X553" s="181"/>
      <c r="Y553" s="181"/>
      <c r="Z553" s="181"/>
      <c r="AB553" s="181"/>
      <c r="AC553" s="181"/>
      <c r="AD553" s="181"/>
      <c r="AE553" s="181"/>
    </row>
    <row r="554" spans="1:31" hidden="1" x14ac:dyDescent="0.35">
      <c r="A554" s="215" t="s">
        <v>295</v>
      </c>
      <c r="B554" s="215" t="s">
        <v>79</v>
      </c>
      <c r="C554" s="215" t="s">
        <v>696</v>
      </c>
      <c r="D554" s="215" t="s">
        <v>420</v>
      </c>
      <c r="E554" s="215">
        <v>10</v>
      </c>
      <c r="F554" s="215" t="s">
        <v>695</v>
      </c>
      <c r="H554" s="231"/>
      <c r="I554" s="237"/>
      <c r="J554" s="197"/>
      <c r="K554" s="197"/>
      <c r="M554" s="50" t="s">
        <v>21</v>
      </c>
      <c r="N554" s="134">
        <v>2.6059113990430202E-3</v>
      </c>
      <c r="O554" s="134">
        <f t="shared" si="5"/>
        <v>2.8665025389473225E-3</v>
      </c>
      <c r="P554" s="175">
        <f t="shared" si="6"/>
        <v>2.8665025389473225E-3</v>
      </c>
      <c r="R554" s="114"/>
      <c r="S554" s="114"/>
      <c r="T554" s="114"/>
      <c r="U554" s="114"/>
      <c r="W554" s="181"/>
      <c r="X554" s="181"/>
      <c r="Y554" s="181"/>
      <c r="Z554" s="181"/>
      <c r="AB554" s="181"/>
      <c r="AC554" s="181"/>
      <c r="AD554" s="181"/>
      <c r="AE554" s="181"/>
    </row>
    <row r="555" spans="1:31" hidden="1" x14ac:dyDescent="0.35">
      <c r="A555" s="215" t="s">
        <v>295</v>
      </c>
      <c r="B555" s="215" t="s">
        <v>79</v>
      </c>
      <c r="C555" s="215" t="s">
        <v>696</v>
      </c>
      <c r="D555" s="215" t="s">
        <v>420</v>
      </c>
      <c r="E555" s="215">
        <v>11</v>
      </c>
      <c r="F555" s="215" t="s">
        <v>695</v>
      </c>
      <c r="H555" s="233"/>
      <c r="I555" s="237"/>
      <c r="J555" s="197"/>
      <c r="K555" s="197"/>
      <c r="M555" s="62" t="s">
        <v>359</v>
      </c>
      <c r="N555" s="72"/>
      <c r="O555" s="72">
        <f t="shared" si="5"/>
        <v>0</v>
      </c>
      <c r="P555" s="155">
        <f t="shared" si="6"/>
        <v>0</v>
      </c>
      <c r="R555" s="114"/>
      <c r="S555" s="114"/>
      <c r="T555" s="114"/>
      <c r="U555" s="114"/>
      <c r="W555" s="181"/>
      <c r="X555" s="181"/>
      <c r="Y555" s="181"/>
      <c r="Z555" s="181"/>
      <c r="AB555" s="181"/>
      <c r="AC555" s="181"/>
      <c r="AD555" s="181"/>
      <c r="AE555" s="181"/>
    </row>
    <row r="556" spans="1:31" hidden="1" x14ac:dyDescent="0.35">
      <c r="A556" s="215" t="s">
        <v>295</v>
      </c>
      <c r="B556" s="215" t="s">
        <v>79</v>
      </c>
      <c r="C556" s="215" t="s">
        <v>696</v>
      </c>
      <c r="D556" s="215" t="s">
        <v>420</v>
      </c>
      <c r="E556" s="215">
        <v>12</v>
      </c>
      <c r="F556" s="215" t="s">
        <v>695</v>
      </c>
      <c r="H556" s="181"/>
      <c r="I556" s="181"/>
      <c r="J556" s="181"/>
      <c r="K556" s="181"/>
      <c r="M556" s="50" t="s">
        <v>88</v>
      </c>
      <c r="N556" s="134">
        <v>2700</v>
      </c>
      <c r="O556" s="134">
        <f t="shared" si="5"/>
        <v>2970.0000000000005</v>
      </c>
      <c r="P556" s="149">
        <f t="shared" si="6"/>
        <v>2970.0000000000005</v>
      </c>
      <c r="R556" s="114"/>
      <c r="S556" s="114"/>
      <c r="T556" s="114"/>
      <c r="U556" s="114"/>
      <c r="W556" s="181"/>
      <c r="X556" s="181"/>
      <c r="Y556" s="181"/>
      <c r="Z556" s="181"/>
      <c r="AB556" s="181"/>
      <c r="AC556" s="181"/>
      <c r="AD556" s="181"/>
      <c r="AE556" s="181"/>
    </row>
    <row r="557" spans="1:31" hidden="1" x14ac:dyDescent="0.35">
      <c r="A557" s="215" t="s">
        <v>295</v>
      </c>
      <c r="B557" s="215" t="s">
        <v>79</v>
      </c>
      <c r="C557" s="215" t="s">
        <v>696</v>
      </c>
      <c r="D557" s="215" t="s">
        <v>420</v>
      </c>
      <c r="E557" s="215">
        <v>13</v>
      </c>
      <c r="F557" s="215" t="s">
        <v>695</v>
      </c>
      <c r="H557" s="197"/>
      <c r="I557" s="197"/>
      <c r="J557" s="197"/>
      <c r="K557" s="197"/>
      <c r="M557" s="62" t="s">
        <v>89</v>
      </c>
      <c r="N557" s="72">
        <v>0.48</v>
      </c>
      <c r="O557" s="72">
        <f t="shared" si="5"/>
        <v>0.52800000000000002</v>
      </c>
      <c r="P557" s="150">
        <f t="shared" si="6"/>
        <v>0.52800000000000002</v>
      </c>
      <c r="R557" s="114"/>
      <c r="S557" s="114"/>
      <c r="T557" s="114"/>
      <c r="U557" s="114"/>
      <c r="W557" s="181"/>
      <c r="X557" s="181"/>
      <c r="Y557" s="181"/>
      <c r="Z557" s="181"/>
      <c r="AB557" s="181"/>
      <c r="AC557" s="181"/>
      <c r="AD557" s="181"/>
      <c r="AE557" s="181"/>
    </row>
    <row r="558" spans="1:31" hidden="1" x14ac:dyDescent="0.35">
      <c r="A558" s="215" t="s">
        <v>295</v>
      </c>
      <c r="B558" s="215" t="s">
        <v>79</v>
      </c>
      <c r="C558" s="215" t="s">
        <v>696</v>
      </c>
      <c r="D558" s="215" t="s">
        <v>420</v>
      </c>
      <c r="E558" s="215">
        <v>14</v>
      </c>
      <c r="F558" s="215" t="s">
        <v>695</v>
      </c>
      <c r="H558" s="234"/>
      <c r="I558" s="237"/>
      <c r="J558" s="197"/>
      <c r="K558" s="197"/>
      <c r="M558" s="33" t="s">
        <v>303</v>
      </c>
      <c r="N558" s="135">
        <v>1.1000000000000001</v>
      </c>
      <c r="P558"/>
      <c r="R558" s="187"/>
      <c r="S558" s="188"/>
      <c r="T558" s="114"/>
      <c r="U558" s="114"/>
      <c r="W558" s="181"/>
      <c r="X558" s="181"/>
      <c r="Y558" s="181"/>
      <c r="Z558" s="181"/>
      <c r="AB558" s="181"/>
      <c r="AC558" s="181"/>
      <c r="AD558" s="181"/>
      <c r="AE558" s="181"/>
    </row>
    <row r="559" spans="1:31" s="124" customFormat="1" ht="15" hidden="1" thickBot="1" x14ac:dyDescent="0.4">
      <c r="A559" s="216" t="s">
        <v>295</v>
      </c>
      <c r="B559" s="216" t="s">
        <v>79</v>
      </c>
      <c r="C559" s="216" t="s">
        <v>696</v>
      </c>
      <c r="D559" s="216" t="s">
        <v>420</v>
      </c>
      <c r="E559" s="216">
        <v>15</v>
      </c>
      <c r="F559" s="216" t="s">
        <v>695</v>
      </c>
      <c r="H559" s="129"/>
      <c r="I559" s="130"/>
    </row>
    <row r="560" spans="1:31" ht="18.75" hidden="1" customHeight="1" x14ac:dyDescent="0.45">
      <c r="A560" s="215" t="s">
        <v>295</v>
      </c>
      <c r="B560" s="215" t="s">
        <v>698</v>
      </c>
      <c r="C560" s="215" t="s">
        <v>699</v>
      </c>
      <c r="D560" s="215" t="s">
        <v>420</v>
      </c>
      <c r="E560" s="215">
        <v>1</v>
      </c>
      <c r="F560" s="215" t="s">
        <v>695</v>
      </c>
      <c r="H560" s="197"/>
      <c r="I560" s="181"/>
      <c r="J560" s="181"/>
      <c r="K560" s="197"/>
      <c r="M560" s="146" t="s">
        <v>367</v>
      </c>
      <c r="N560" s="146"/>
      <c r="O560" s="146"/>
      <c r="P560" s="146"/>
      <c r="Q560" s="16"/>
      <c r="R560" s="189"/>
      <c r="S560" s="189"/>
      <c r="T560" s="189"/>
      <c r="U560" s="189"/>
      <c r="W560" s="181"/>
      <c r="X560" s="181"/>
      <c r="Y560" s="181"/>
      <c r="Z560" s="181"/>
      <c r="AB560" s="181"/>
      <c r="AC560" s="181"/>
      <c r="AD560" s="181"/>
      <c r="AE560" s="181"/>
    </row>
    <row r="561" spans="1:31" hidden="1" x14ac:dyDescent="0.35">
      <c r="A561" s="215" t="s">
        <v>295</v>
      </c>
      <c r="B561" s="215" t="s">
        <v>698</v>
      </c>
      <c r="C561" s="215" t="s">
        <v>699</v>
      </c>
      <c r="D561" s="215" t="s">
        <v>420</v>
      </c>
      <c r="E561" s="215">
        <v>2</v>
      </c>
      <c r="F561" s="215" t="s">
        <v>695</v>
      </c>
      <c r="H561" s="197"/>
      <c r="I561" s="197"/>
      <c r="J561" s="197"/>
      <c r="K561" s="197"/>
      <c r="M561" s="100" t="s">
        <v>535</v>
      </c>
      <c r="N561" s="100" t="s">
        <v>369</v>
      </c>
      <c r="O561" s="100"/>
      <c r="P561" s="100"/>
      <c r="R561" s="114"/>
      <c r="S561" s="114"/>
      <c r="T561" s="114"/>
      <c r="U561" s="114"/>
      <c r="W561" s="181"/>
      <c r="X561" s="181"/>
      <c r="Y561" s="181"/>
      <c r="Z561" s="181"/>
      <c r="AB561" s="181"/>
      <c r="AC561" s="181"/>
      <c r="AD561" s="181"/>
      <c r="AE561" s="181"/>
    </row>
    <row r="562" spans="1:31" hidden="1" x14ac:dyDescent="0.35">
      <c r="A562" s="215" t="s">
        <v>295</v>
      </c>
      <c r="B562" s="215" t="s">
        <v>698</v>
      </c>
      <c r="C562" s="215" t="s">
        <v>699</v>
      </c>
      <c r="D562" s="215" t="s">
        <v>420</v>
      </c>
      <c r="E562" s="215">
        <v>3</v>
      </c>
      <c r="F562" s="215" t="s">
        <v>695</v>
      </c>
      <c r="H562" s="197"/>
      <c r="I562" s="181"/>
      <c r="J562" s="181"/>
      <c r="K562" s="197"/>
      <c r="M562" s="115" t="s">
        <v>537</v>
      </c>
      <c r="N562" s="212" t="s">
        <v>697</v>
      </c>
      <c r="O562" s="115" t="s">
        <v>539</v>
      </c>
      <c r="P562" s="212">
        <v>8500</v>
      </c>
      <c r="R562" s="114"/>
      <c r="S562" s="114"/>
      <c r="T562" s="114"/>
      <c r="U562" s="114"/>
      <c r="W562" s="181"/>
      <c r="X562" s="181"/>
      <c r="Y562" s="181"/>
      <c r="Z562" s="181"/>
      <c r="AB562" s="181"/>
      <c r="AC562" s="181"/>
      <c r="AD562" s="181"/>
      <c r="AE562" s="181"/>
    </row>
    <row r="563" spans="1:31" hidden="1" x14ac:dyDescent="0.35">
      <c r="A563" s="215" t="s">
        <v>295</v>
      </c>
      <c r="B563" s="215" t="s">
        <v>698</v>
      </c>
      <c r="C563" s="215" t="s">
        <v>699</v>
      </c>
      <c r="D563" s="215" t="s">
        <v>420</v>
      </c>
      <c r="E563" s="215">
        <v>4</v>
      </c>
      <c r="F563" s="215" t="s">
        <v>695</v>
      </c>
      <c r="H563" s="197"/>
      <c r="I563" s="197"/>
      <c r="J563" s="197"/>
      <c r="K563" s="197"/>
      <c r="M563" s="100" t="s">
        <v>90</v>
      </c>
      <c r="N563" s="212">
        <v>3200</v>
      </c>
      <c r="O563" s="115" t="s">
        <v>540</v>
      </c>
      <c r="P563" s="212">
        <v>12</v>
      </c>
      <c r="R563" s="114"/>
      <c r="S563" s="114"/>
      <c r="T563" s="114"/>
      <c r="U563" s="114"/>
      <c r="W563" s="181"/>
      <c r="X563" s="181"/>
      <c r="Y563" s="181"/>
      <c r="Z563" s="181"/>
      <c r="AB563" s="181"/>
      <c r="AC563" s="181"/>
      <c r="AD563" s="181"/>
      <c r="AE563" s="181"/>
    </row>
    <row r="564" spans="1:31" hidden="1" x14ac:dyDescent="0.35">
      <c r="A564" s="215" t="s">
        <v>295</v>
      </c>
      <c r="B564" s="215" t="s">
        <v>698</v>
      </c>
      <c r="C564" s="215" t="s">
        <v>699</v>
      </c>
      <c r="D564" s="215" t="s">
        <v>420</v>
      </c>
      <c r="E564" s="215">
        <v>5</v>
      </c>
      <c r="F564" s="215" t="s">
        <v>695</v>
      </c>
      <c r="H564" s="181"/>
      <c r="I564" s="197"/>
      <c r="J564" s="197"/>
      <c r="K564" s="181"/>
      <c r="M564" s="136" t="s">
        <v>300</v>
      </c>
      <c r="N564" s="137" t="s">
        <v>541</v>
      </c>
      <c r="O564" s="137" t="s">
        <v>302</v>
      </c>
      <c r="P564" s="138" t="s">
        <v>542</v>
      </c>
      <c r="R564" s="183"/>
      <c r="S564" s="183"/>
      <c r="T564" s="183"/>
      <c r="U564" s="183"/>
      <c r="W564" s="181"/>
      <c r="X564" s="181"/>
      <c r="Y564" s="181"/>
      <c r="Z564" s="181"/>
      <c r="AB564" s="181"/>
      <c r="AC564" s="181"/>
      <c r="AD564" s="181"/>
      <c r="AE564" s="181"/>
    </row>
    <row r="565" spans="1:31" hidden="1" x14ac:dyDescent="0.35">
      <c r="A565" s="215" t="s">
        <v>295</v>
      </c>
      <c r="B565" s="215" t="s">
        <v>698</v>
      </c>
      <c r="C565" s="215" t="s">
        <v>699</v>
      </c>
      <c r="D565" s="215" t="s">
        <v>420</v>
      </c>
      <c r="E565" s="215">
        <v>6</v>
      </c>
      <c r="F565" s="215" t="s">
        <v>695</v>
      </c>
      <c r="H565" s="181"/>
      <c r="I565" s="181"/>
      <c r="J565" s="181"/>
      <c r="K565" s="181"/>
      <c r="M565" s="50" t="s">
        <v>278</v>
      </c>
      <c r="N565" s="134">
        <f>0.000014247685185*3.06</f>
        <v>4.3597916666100003E-5</v>
      </c>
      <c r="O565" s="134">
        <f t="shared" ref="O565:O570" si="7">N565*$N$571</f>
        <v>2.1798958333050002E-5</v>
      </c>
      <c r="P565" s="168">
        <f t="shared" ref="P565:P570" si="8">O565</f>
        <v>2.1798958333050002E-5</v>
      </c>
      <c r="R565" s="114"/>
      <c r="S565" s="114"/>
      <c r="T565" s="114"/>
      <c r="U565" s="114"/>
      <c r="W565" s="181"/>
      <c r="X565" s="181"/>
      <c r="Y565" s="181"/>
      <c r="Z565" s="181"/>
      <c r="AB565" s="181"/>
      <c r="AC565" s="181"/>
      <c r="AD565" s="181"/>
      <c r="AE565" s="181"/>
    </row>
    <row r="566" spans="1:31" ht="15" hidden="1" customHeight="1" x14ac:dyDescent="0.35">
      <c r="A566" s="215" t="s">
        <v>295</v>
      </c>
      <c r="B566" s="215" t="s">
        <v>698</v>
      </c>
      <c r="C566" s="215" t="s">
        <v>699</v>
      </c>
      <c r="D566" s="215" t="s">
        <v>420</v>
      </c>
      <c r="E566" s="215">
        <v>7</v>
      </c>
      <c r="F566" s="215" t="s">
        <v>695</v>
      </c>
      <c r="H566" s="197"/>
      <c r="I566" s="197"/>
      <c r="J566" s="197"/>
      <c r="K566" s="197"/>
      <c r="M566" s="50" t="s">
        <v>282</v>
      </c>
      <c r="N566" s="134">
        <f>0.007123842592593*3.06</f>
        <v>2.1798958333334579E-2</v>
      </c>
      <c r="O566" s="134">
        <f t="shared" si="7"/>
        <v>1.0899479166667289E-2</v>
      </c>
      <c r="P566" s="199">
        <f t="shared" si="8"/>
        <v>1.0899479166667289E-2</v>
      </c>
      <c r="R566" s="114"/>
      <c r="S566" s="114"/>
      <c r="T566" s="114"/>
      <c r="U566" s="114"/>
      <c r="W566" s="181"/>
      <c r="X566" s="181"/>
      <c r="Y566" s="181"/>
      <c r="Z566" s="181"/>
      <c r="AB566" s="181"/>
      <c r="AC566" s="181"/>
      <c r="AD566" s="181"/>
      <c r="AE566" s="181"/>
    </row>
    <row r="567" spans="1:31" hidden="1" x14ac:dyDescent="0.35">
      <c r="A567" s="215" t="s">
        <v>295</v>
      </c>
      <c r="B567" s="215" t="s">
        <v>698</v>
      </c>
      <c r="C567" s="215" t="s">
        <v>699</v>
      </c>
      <c r="D567" s="215" t="s">
        <v>420</v>
      </c>
      <c r="E567" s="215">
        <v>8</v>
      </c>
      <c r="F567" s="215" t="s">
        <v>695</v>
      </c>
      <c r="H567" s="181"/>
      <c r="I567" s="197"/>
      <c r="J567" s="197"/>
      <c r="K567" s="181"/>
      <c r="M567" s="50" t="s">
        <v>25</v>
      </c>
      <c r="N567" s="134">
        <f>0.000011188078704*3.06</f>
        <v>3.4235520834240001E-5</v>
      </c>
      <c r="O567" s="134">
        <f t="shared" si="7"/>
        <v>1.7117760417120001E-5</v>
      </c>
      <c r="P567" s="168">
        <f t="shared" si="8"/>
        <v>1.7117760417120001E-5</v>
      </c>
      <c r="R567" s="114"/>
      <c r="S567" s="114"/>
      <c r="T567" s="114"/>
      <c r="U567" s="114"/>
      <c r="W567" s="181"/>
      <c r="X567" s="181"/>
      <c r="Y567" s="181"/>
      <c r="Z567" s="181"/>
      <c r="AB567" s="181"/>
      <c r="AC567" s="181"/>
      <c r="AD567" s="181"/>
      <c r="AE567" s="181"/>
    </row>
    <row r="568" spans="1:31" hidden="1" x14ac:dyDescent="0.35">
      <c r="A568" s="215" t="s">
        <v>295</v>
      </c>
      <c r="B568" s="215" t="s">
        <v>698</v>
      </c>
      <c r="C568" s="215" t="s">
        <v>699</v>
      </c>
      <c r="D568" s="215" t="s">
        <v>420</v>
      </c>
      <c r="E568" s="215">
        <v>9</v>
      </c>
      <c r="F568" s="215" t="s">
        <v>695</v>
      </c>
      <c r="H568" s="197"/>
      <c r="I568" s="197"/>
      <c r="J568" s="197"/>
      <c r="K568" s="197"/>
      <c r="M568" s="62" t="s">
        <v>74</v>
      </c>
      <c r="N568" s="72">
        <f>0.000001994675926*3.06</f>
        <v>6.1037083335599999E-6</v>
      </c>
      <c r="O568" s="72">
        <f t="shared" si="7"/>
        <v>3.0518541667799999E-6</v>
      </c>
      <c r="P568" s="178">
        <f t="shared" si="8"/>
        <v>3.0518541667799999E-6</v>
      </c>
      <c r="R568" s="114"/>
      <c r="S568" s="114"/>
      <c r="T568" s="114"/>
      <c r="U568" s="114"/>
      <c r="W568" s="181"/>
      <c r="X568" s="181"/>
      <c r="Y568" s="181"/>
      <c r="Z568" s="181"/>
      <c r="AB568" s="181"/>
      <c r="AC568" s="181"/>
      <c r="AD568" s="181"/>
      <c r="AE568" s="181"/>
    </row>
    <row r="569" spans="1:31" ht="14.25" hidden="1" customHeight="1" x14ac:dyDescent="0.35">
      <c r="A569" s="215" t="s">
        <v>295</v>
      </c>
      <c r="B569" s="215" t="s">
        <v>698</v>
      </c>
      <c r="C569" s="215" t="s">
        <v>699</v>
      </c>
      <c r="D569" s="215" t="s">
        <v>420</v>
      </c>
      <c r="E569" s="215">
        <v>10</v>
      </c>
      <c r="F569" s="215" t="s">
        <v>695</v>
      </c>
      <c r="H569" s="197"/>
      <c r="I569" s="197"/>
      <c r="J569" s="197"/>
      <c r="K569" s="197"/>
      <c r="M569" s="50" t="s">
        <v>88</v>
      </c>
      <c r="N569" s="134">
        <v>1800</v>
      </c>
      <c r="O569" s="134">
        <f t="shared" si="7"/>
        <v>900</v>
      </c>
      <c r="P569" s="149">
        <f t="shared" si="8"/>
        <v>900</v>
      </c>
      <c r="R569" s="114"/>
      <c r="S569" s="114"/>
      <c r="T569" s="114"/>
      <c r="U569" s="114"/>
      <c r="W569" s="181"/>
      <c r="X569" s="181"/>
      <c r="Y569" s="181"/>
      <c r="Z569" s="181"/>
      <c r="AB569" s="181"/>
      <c r="AC569" s="181"/>
      <c r="AD569" s="181"/>
      <c r="AE569" s="181"/>
    </row>
    <row r="570" spans="1:31" hidden="1" x14ac:dyDescent="0.35">
      <c r="A570" s="215" t="s">
        <v>295</v>
      </c>
      <c r="B570" s="215" t="s">
        <v>698</v>
      </c>
      <c r="C570" s="215" t="s">
        <v>699</v>
      </c>
      <c r="D570" s="215" t="s">
        <v>420</v>
      </c>
      <c r="E570" s="215">
        <v>11</v>
      </c>
      <c r="F570" s="215" t="s">
        <v>695</v>
      </c>
      <c r="H570" s="197"/>
      <c r="I570" s="197"/>
      <c r="J570" s="197"/>
      <c r="K570" s="197"/>
      <c r="M570" s="62" t="s">
        <v>89</v>
      </c>
      <c r="N570" s="72">
        <v>0.48</v>
      </c>
      <c r="O570" s="72">
        <f t="shared" si="7"/>
        <v>0.24</v>
      </c>
      <c r="P570" s="150">
        <f t="shared" si="8"/>
        <v>0.24</v>
      </c>
      <c r="R570" s="114"/>
      <c r="S570" s="114"/>
      <c r="T570" s="114"/>
      <c r="U570" s="114"/>
      <c r="W570" s="181"/>
      <c r="X570" s="181"/>
      <c r="Y570" s="181"/>
      <c r="Z570" s="181"/>
      <c r="AB570" s="181"/>
      <c r="AC570" s="181"/>
      <c r="AD570" s="181"/>
      <c r="AE570" s="181"/>
    </row>
    <row r="571" spans="1:31" hidden="1" x14ac:dyDescent="0.35">
      <c r="A571" s="215" t="s">
        <v>295</v>
      </c>
      <c r="B571" s="215" t="s">
        <v>698</v>
      </c>
      <c r="C571" s="215" t="s">
        <v>699</v>
      </c>
      <c r="D571" s="215" t="s">
        <v>420</v>
      </c>
      <c r="E571" s="215">
        <v>12</v>
      </c>
      <c r="F571" s="215" t="s">
        <v>695</v>
      </c>
      <c r="H571" s="197"/>
      <c r="I571" s="197"/>
      <c r="J571" s="197"/>
      <c r="K571" s="197"/>
      <c r="M571" s="33" t="s">
        <v>303</v>
      </c>
      <c r="N571" s="135">
        <v>0.5</v>
      </c>
      <c r="P571"/>
      <c r="R571" s="187"/>
      <c r="S571" s="188"/>
      <c r="T571" s="188"/>
      <c r="U571" s="188"/>
      <c r="W571" s="181"/>
      <c r="X571" s="181"/>
      <c r="Y571" s="181"/>
      <c r="Z571" s="181"/>
      <c r="AB571" s="181"/>
      <c r="AC571" s="181"/>
      <c r="AD571" s="181"/>
      <c r="AE571" s="181"/>
    </row>
    <row r="572" spans="1:31" s="124" customFormat="1" ht="15" hidden="1" thickBot="1" x14ac:dyDescent="0.4">
      <c r="A572" s="215" t="s">
        <v>295</v>
      </c>
      <c r="B572" s="215" t="s">
        <v>698</v>
      </c>
      <c r="C572" s="215" t="s">
        <v>699</v>
      </c>
      <c r="D572" s="215" t="s">
        <v>420</v>
      </c>
      <c r="E572" s="215">
        <v>13</v>
      </c>
      <c r="F572" s="215" t="s">
        <v>695</v>
      </c>
    </row>
    <row r="573" spans="1:31" ht="18.75" hidden="1" customHeight="1" x14ac:dyDescent="0.45">
      <c r="A573" s="215" t="s">
        <v>295</v>
      </c>
      <c r="B573" s="215" t="s">
        <v>700</v>
      </c>
      <c r="C573" s="215" t="s">
        <v>701</v>
      </c>
      <c r="D573" s="215" t="s">
        <v>420</v>
      </c>
      <c r="E573" s="215">
        <v>1</v>
      </c>
      <c r="F573" s="215" t="s">
        <v>420</v>
      </c>
      <c r="H573" s="225" t="s">
        <v>702</v>
      </c>
      <c r="I573" s="225"/>
      <c r="J573" s="225"/>
      <c r="K573" s="225"/>
      <c r="M573" s="225" t="s">
        <v>702</v>
      </c>
      <c r="N573" s="225"/>
      <c r="O573" s="225"/>
      <c r="P573" s="225"/>
      <c r="R573" s="225" t="s">
        <v>702</v>
      </c>
      <c r="S573" s="225"/>
      <c r="T573" s="225"/>
      <c r="U573" s="225"/>
      <c r="W573" s="114"/>
      <c r="X573" s="114"/>
      <c r="Y573" s="114"/>
      <c r="Z573" s="114"/>
      <c r="AB573" s="114"/>
      <c r="AC573" s="114"/>
      <c r="AD573" s="114"/>
      <c r="AE573" s="114"/>
    </row>
    <row r="574" spans="1:31" hidden="1" x14ac:dyDescent="0.35">
      <c r="A574" s="219" t="s">
        <v>295</v>
      </c>
      <c r="B574" s="219" t="s">
        <v>700</v>
      </c>
      <c r="C574" s="219" t="s">
        <v>701</v>
      </c>
      <c r="D574" s="219" t="s">
        <v>420</v>
      </c>
      <c r="E574" s="219">
        <v>2</v>
      </c>
      <c r="F574" s="219" t="s">
        <v>420</v>
      </c>
      <c r="G574" s="114"/>
      <c r="H574" s="115" t="s">
        <v>535</v>
      </c>
      <c r="I574" s="115"/>
      <c r="J574" s="115"/>
      <c r="K574" s="115"/>
      <c r="L574" s="114"/>
      <c r="M574" s="115" t="s">
        <v>535</v>
      </c>
      <c r="N574" s="115"/>
      <c r="O574" s="115"/>
      <c r="P574" s="115"/>
      <c r="Q574" s="114"/>
      <c r="R574" s="115" t="s">
        <v>535</v>
      </c>
      <c r="S574" s="115"/>
      <c r="T574" s="115"/>
      <c r="U574" s="115"/>
      <c r="V574" s="114"/>
      <c r="W574" s="114"/>
      <c r="X574" s="114"/>
      <c r="Y574" s="114"/>
      <c r="Z574" s="114"/>
      <c r="AA574" s="114"/>
      <c r="AB574" s="114"/>
      <c r="AC574" s="114"/>
      <c r="AD574" s="114"/>
      <c r="AE574" s="114"/>
    </row>
    <row r="575" spans="1:31" hidden="1" x14ac:dyDescent="0.35">
      <c r="A575" s="215" t="s">
        <v>295</v>
      </c>
      <c r="B575" s="215" t="s">
        <v>700</v>
      </c>
      <c r="C575" s="215" t="s">
        <v>701</v>
      </c>
      <c r="D575" s="215" t="s">
        <v>420</v>
      </c>
      <c r="E575" s="215">
        <v>3</v>
      </c>
      <c r="F575" s="215" t="s">
        <v>420</v>
      </c>
      <c r="H575" s="115" t="s">
        <v>537</v>
      </c>
      <c r="I575" s="115" t="s">
        <v>703</v>
      </c>
      <c r="J575" s="115" t="s">
        <v>539</v>
      </c>
      <c r="K575" s="100">
        <v>5200</v>
      </c>
      <c r="M575" s="115" t="s">
        <v>537</v>
      </c>
      <c r="N575" s="115" t="s">
        <v>703</v>
      </c>
      <c r="O575" s="115" t="s">
        <v>539</v>
      </c>
      <c r="P575" s="115">
        <v>5200</v>
      </c>
      <c r="R575" s="115" t="s">
        <v>537</v>
      </c>
      <c r="S575" s="115" t="s">
        <v>703</v>
      </c>
      <c r="T575" s="115" t="s">
        <v>539</v>
      </c>
      <c r="U575" s="115">
        <v>5200</v>
      </c>
      <c r="W575" s="114"/>
      <c r="Z575" s="114"/>
      <c r="AB575" s="114"/>
      <c r="AE575" s="114"/>
    </row>
    <row r="576" spans="1:31" hidden="1" x14ac:dyDescent="0.35">
      <c r="A576" s="215" t="s">
        <v>295</v>
      </c>
      <c r="B576" s="215" t="s">
        <v>700</v>
      </c>
      <c r="C576" s="215" t="s">
        <v>701</v>
      </c>
      <c r="D576" s="215" t="s">
        <v>420</v>
      </c>
      <c r="E576" s="215">
        <v>4</v>
      </c>
      <c r="F576" s="215" t="s">
        <v>420</v>
      </c>
      <c r="H576" s="115" t="s">
        <v>90</v>
      </c>
      <c r="I576" s="115">
        <v>2000</v>
      </c>
      <c r="J576" s="115" t="s">
        <v>540</v>
      </c>
      <c r="K576" s="115">
        <v>5</v>
      </c>
      <c r="M576" s="115" t="s">
        <v>90</v>
      </c>
      <c r="N576" s="115">
        <v>2000</v>
      </c>
      <c r="O576" s="115" t="s">
        <v>540</v>
      </c>
      <c r="P576" s="115">
        <v>5</v>
      </c>
      <c r="R576" s="115" t="s">
        <v>90</v>
      </c>
      <c r="S576" s="115">
        <v>2000</v>
      </c>
      <c r="T576" s="115" t="s">
        <v>540</v>
      </c>
      <c r="U576" s="115">
        <v>5</v>
      </c>
      <c r="W576" s="114"/>
      <c r="X576" s="114"/>
      <c r="Y576" s="114"/>
      <c r="Z576" s="114"/>
      <c r="AB576" s="114"/>
      <c r="AC576" s="114"/>
      <c r="AD576" s="114"/>
      <c r="AE576" s="114"/>
    </row>
    <row r="577" spans="1:21" hidden="1" x14ac:dyDescent="0.35">
      <c r="A577" s="215" t="s">
        <v>295</v>
      </c>
      <c r="B577" s="215" t="s">
        <v>700</v>
      </c>
      <c r="C577" s="215" t="s">
        <v>701</v>
      </c>
      <c r="D577" s="215" t="s">
        <v>420</v>
      </c>
      <c r="E577" s="215">
        <v>5</v>
      </c>
      <c r="F577" s="215" t="s">
        <v>420</v>
      </c>
      <c r="H577" s="136" t="s">
        <v>300</v>
      </c>
      <c r="I577" s="137" t="s">
        <v>541</v>
      </c>
      <c r="J577" s="137" t="s">
        <v>302</v>
      </c>
      <c r="K577" s="138" t="s">
        <v>542</v>
      </c>
      <c r="M577" s="143" t="s">
        <v>300</v>
      </c>
      <c r="N577" s="137" t="s">
        <v>105</v>
      </c>
      <c r="O577" s="144" t="s">
        <v>302</v>
      </c>
      <c r="P577" s="145" t="s">
        <v>542</v>
      </c>
      <c r="R577" s="143" t="s">
        <v>300</v>
      </c>
      <c r="S577" s="137" t="s">
        <v>86</v>
      </c>
      <c r="T577" s="144" t="s">
        <v>302</v>
      </c>
      <c r="U577" s="145" t="s">
        <v>542</v>
      </c>
    </row>
    <row r="578" spans="1:21" hidden="1" x14ac:dyDescent="0.35">
      <c r="A578" s="219" t="s">
        <v>295</v>
      </c>
      <c r="B578" s="219" t="s">
        <v>700</v>
      </c>
      <c r="C578" s="219" t="s">
        <v>701</v>
      </c>
      <c r="D578" s="219" t="s">
        <v>420</v>
      </c>
      <c r="E578" s="219">
        <v>6</v>
      </c>
      <c r="F578" s="219" t="s">
        <v>420</v>
      </c>
      <c r="G578" s="114"/>
      <c r="H578" s="50" t="s">
        <v>283</v>
      </c>
      <c r="I578" s="134"/>
      <c r="J578" s="134">
        <v>5</v>
      </c>
      <c r="K578" s="149">
        <f>J578</f>
        <v>5</v>
      </c>
      <c r="L578" s="114"/>
      <c r="M578" s="50" t="s">
        <v>283</v>
      </c>
      <c r="N578" s="134"/>
      <c r="O578" s="134">
        <v>5</v>
      </c>
      <c r="P578" s="149">
        <f t="shared" ref="P578:P584" si="9">O578</f>
        <v>5</v>
      </c>
      <c r="Q578" s="114"/>
      <c r="R578" s="50" t="s">
        <v>283</v>
      </c>
      <c r="S578" s="134"/>
      <c r="T578" s="134">
        <v>5</v>
      </c>
      <c r="U578" s="149">
        <f t="shared" ref="U578:U584" si="10">T578</f>
        <v>5</v>
      </c>
    </row>
    <row r="579" spans="1:21" hidden="1" x14ac:dyDescent="0.35">
      <c r="A579" s="215" t="s">
        <v>295</v>
      </c>
      <c r="B579" s="215" t="s">
        <v>700</v>
      </c>
      <c r="C579" s="215" t="s">
        <v>701</v>
      </c>
      <c r="D579" s="215" t="s">
        <v>420</v>
      </c>
      <c r="E579" s="215">
        <v>7</v>
      </c>
      <c r="F579" s="215" t="s">
        <v>420</v>
      </c>
      <c r="H579" s="62" t="s">
        <v>282</v>
      </c>
      <c r="I579" s="72"/>
      <c r="J579" s="72">
        <v>150</v>
      </c>
      <c r="K579" s="149">
        <f>J579</f>
        <v>150</v>
      </c>
      <c r="M579" s="50" t="s">
        <v>282</v>
      </c>
      <c r="N579" s="134">
        <v>367.20000000000005</v>
      </c>
      <c r="O579" s="134">
        <f>N579*N$585</f>
        <v>367.20000000000005</v>
      </c>
      <c r="P579" s="149">
        <f t="shared" si="9"/>
        <v>367.20000000000005</v>
      </c>
      <c r="R579" s="50" t="s">
        <v>282</v>
      </c>
      <c r="S579" s="134"/>
      <c r="T579" s="134">
        <v>300</v>
      </c>
      <c r="U579" s="149">
        <f t="shared" si="10"/>
        <v>300</v>
      </c>
    </row>
    <row r="580" spans="1:21" hidden="1" x14ac:dyDescent="0.35">
      <c r="A580" s="215" t="s">
        <v>295</v>
      </c>
      <c r="B580" s="215" t="s">
        <v>700</v>
      </c>
      <c r="C580" s="215" t="s">
        <v>701</v>
      </c>
      <c r="D580" s="215" t="s">
        <v>420</v>
      </c>
      <c r="E580" s="215">
        <v>8</v>
      </c>
      <c r="F580" s="215" t="s">
        <v>420</v>
      </c>
      <c r="H580" s="50" t="s">
        <v>88</v>
      </c>
      <c r="I580" s="134">
        <v>1000</v>
      </c>
      <c r="J580" s="134">
        <f>I580*I$582</f>
        <v>1000</v>
      </c>
      <c r="K580" s="149">
        <f>J580</f>
        <v>1000</v>
      </c>
      <c r="M580" s="50" t="s">
        <v>73</v>
      </c>
      <c r="N580">
        <v>1.4624999999712001</v>
      </c>
      <c r="O580" s="134">
        <f>N580*N$585</f>
        <v>1.4624999999712001</v>
      </c>
      <c r="P580" s="173">
        <f t="shared" si="9"/>
        <v>1.4624999999712001</v>
      </c>
      <c r="R580" s="50" t="s">
        <v>73</v>
      </c>
      <c r="S580"/>
      <c r="T580">
        <v>6.29</v>
      </c>
      <c r="U580" s="149">
        <f t="shared" si="10"/>
        <v>6.29</v>
      </c>
    </row>
    <row r="581" spans="1:21" hidden="1" x14ac:dyDescent="0.35">
      <c r="A581" s="215" t="s">
        <v>295</v>
      </c>
      <c r="B581" s="215" t="s">
        <v>700</v>
      </c>
      <c r="C581" s="215" t="s">
        <v>701</v>
      </c>
      <c r="D581" s="215" t="s">
        <v>420</v>
      </c>
      <c r="E581" s="215">
        <v>9</v>
      </c>
      <c r="F581" s="215" t="s">
        <v>420</v>
      </c>
      <c r="H581" s="62" t="s">
        <v>89</v>
      </c>
      <c r="I581" s="72">
        <v>3.7999999999999999E-2</v>
      </c>
      <c r="J581" s="72">
        <f>IF(J582="1.25m",($I581*I582)-(SUM(QuadCoreMass,CS125Mass)*I582),$I581*I582)</f>
        <v>3.7999999999999999E-2</v>
      </c>
      <c r="K581" s="150">
        <f>J581</f>
        <v>3.7999999999999999E-2</v>
      </c>
      <c r="M581" s="50" t="s">
        <v>23</v>
      </c>
      <c r="N581" s="134">
        <v>148.04964539006397</v>
      </c>
      <c r="O581" s="134">
        <f>N581*N$585</f>
        <v>148.04964539006397</v>
      </c>
      <c r="P581" s="173">
        <f t="shared" si="9"/>
        <v>148.04964539006397</v>
      </c>
      <c r="R581" s="50" t="s">
        <v>23</v>
      </c>
      <c r="S581" s="134"/>
      <c r="T581" s="134">
        <v>595</v>
      </c>
      <c r="U581" s="173">
        <f t="shared" si="10"/>
        <v>595</v>
      </c>
    </row>
    <row r="582" spans="1:21" hidden="1" x14ac:dyDescent="0.35">
      <c r="A582" s="215" t="s">
        <v>295</v>
      </c>
      <c r="B582" s="215" t="s">
        <v>700</v>
      </c>
      <c r="C582" s="215" t="s">
        <v>701</v>
      </c>
      <c r="D582" s="215" t="s">
        <v>420</v>
      </c>
      <c r="E582" s="215">
        <v>10</v>
      </c>
      <c r="F582" s="215" t="s">
        <v>420</v>
      </c>
      <c r="H582" s="230" t="s">
        <v>303</v>
      </c>
      <c r="I582" s="135">
        <v>1</v>
      </c>
      <c r="J582" s="135" t="s">
        <v>44</v>
      </c>
      <c r="K582" s="134"/>
      <c r="M582" s="62" t="s">
        <v>25</v>
      </c>
      <c r="N582" s="72">
        <v>0.96665000002559998</v>
      </c>
      <c r="O582" s="134">
        <f>N582*N$585</f>
        <v>0.96665000002559998</v>
      </c>
      <c r="P582" s="155">
        <f t="shared" si="9"/>
        <v>0.96665000002559998</v>
      </c>
      <c r="R582" s="50" t="s">
        <v>25</v>
      </c>
      <c r="S582"/>
      <c r="T582">
        <v>2.42</v>
      </c>
      <c r="U582" s="155">
        <f t="shared" si="10"/>
        <v>2.42</v>
      </c>
    </row>
    <row r="583" spans="1:21" hidden="1" x14ac:dyDescent="0.35">
      <c r="A583" s="215" t="s">
        <v>295</v>
      </c>
      <c r="B583" s="215" t="s">
        <v>700</v>
      </c>
      <c r="C583" s="215" t="s">
        <v>701</v>
      </c>
      <c r="D583" s="215" t="s">
        <v>420</v>
      </c>
      <c r="E583" s="215">
        <v>11</v>
      </c>
      <c r="F583" s="215" t="s">
        <v>420</v>
      </c>
      <c r="H583" s="114"/>
      <c r="I583" s="114"/>
      <c r="J583" s="114"/>
      <c r="K583" s="114"/>
      <c r="M583" s="50" t="s">
        <v>88</v>
      </c>
      <c r="N583" s="134"/>
      <c r="O583" s="134">
        <v>1000</v>
      </c>
      <c r="P583" s="149">
        <f t="shared" si="9"/>
        <v>1000</v>
      </c>
      <c r="R583" s="47" t="s">
        <v>88</v>
      </c>
      <c r="S583" s="179"/>
      <c r="T583" s="179">
        <v>1000</v>
      </c>
      <c r="U583" s="149">
        <f t="shared" si="10"/>
        <v>1000</v>
      </c>
    </row>
    <row r="584" spans="1:21" hidden="1" x14ac:dyDescent="0.35">
      <c r="A584" s="215" t="s">
        <v>295</v>
      </c>
      <c r="B584" s="215" t="s">
        <v>700</v>
      </c>
      <c r="C584" s="215" t="s">
        <v>701</v>
      </c>
      <c r="D584" s="215" t="s">
        <v>420</v>
      </c>
      <c r="E584" s="215">
        <v>12</v>
      </c>
      <c r="F584" s="215" t="s">
        <v>420</v>
      </c>
      <c r="H584" s="114"/>
      <c r="K584" s="114"/>
      <c r="M584" s="62" t="s">
        <v>89</v>
      </c>
      <c r="N584" s="72"/>
      <c r="O584" s="72">
        <v>0.05</v>
      </c>
      <c r="P584" s="150">
        <f t="shared" si="9"/>
        <v>0.05</v>
      </c>
      <c r="R584" s="62" t="s">
        <v>89</v>
      </c>
      <c r="S584" s="72"/>
      <c r="T584" s="72">
        <v>0.05</v>
      </c>
      <c r="U584" s="150">
        <f t="shared" si="10"/>
        <v>0.05</v>
      </c>
    </row>
    <row r="585" spans="1:21" hidden="1" x14ac:dyDescent="0.35">
      <c r="A585" s="215" t="s">
        <v>295</v>
      </c>
      <c r="B585" s="215" t="s">
        <v>700</v>
      </c>
      <c r="C585" s="215" t="s">
        <v>701</v>
      </c>
      <c r="D585" s="215" t="s">
        <v>420</v>
      </c>
      <c r="E585" s="215">
        <v>13</v>
      </c>
      <c r="F585" s="215" t="s">
        <v>420</v>
      </c>
      <c r="H585" s="114"/>
      <c r="I585" s="114"/>
      <c r="J585" s="114"/>
      <c r="K585" s="114"/>
      <c r="M585" s="230" t="s">
        <v>303</v>
      </c>
      <c r="N585" s="135">
        <v>1</v>
      </c>
      <c r="O585" s="114"/>
      <c r="P585" s="134"/>
      <c r="R585" s="230" t="s">
        <v>303</v>
      </c>
      <c r="S585" s="135">
        <v>1</v>
      </c>
      <c r="T585" s="114"/>
      <c r="U585" s="134"/>
    </row>
    <row r="586" spans="1:21" s="124" customFormat="1" ht="15" hidden="1" thickBot="1" x14ac:dyDescent="0.4">
      <c r="A586" s="215" t="s">
        <v>295</v>
      </c>
      <c r="B586" s="215" t="s">
        <v>700</v>
      </c>
      <c r="C586" s="215" t="s">
        <v>701</v>
      </c>
      <c r="D586" s="215" t="s">
        <v>420</v>
      </c>
      <c r="E586" s="215">
        <v>14</v>
      </c>
      <c r="F586" s="215" t="s">
        <v>420</v>
      </c>
    </row>
    <row r="587" spans="1:21" s="114" customFormat="1" ht="18.75" hidden="1" customHeight="1" x14ac:dyDescent="0.45">
      <c r="A587" s="215" t="s">
        <v>599</v>
      </c>
      <c r="B587" s="215" t="s">
        <v>704</v>
      </c>
      <c r="C587" s="215" t="s">
        <v>705</v>
      </c>
      <c r="D587" s="215" t="s">
        <v>420</v>
      </c>
      <c r="E587" s="215">
        <v>1</v>
      </c>
      <c r="F587" s="215" t="s">
        <v>706</v>
      </c>
      <c r="H587" s="197"/>
      <c r="I587" s="197"/>
      <c r="J587" s="197"/>
      <c r="K587" s="197"/>
      <c r="M587" s="146" t="s">
        <v>707</v>
      </c>
      <c r="N587" s="146"/>
      <c r="O587" s="146"/>
      <c r="P587" s="146"/>
      <c r="R587" s="146" t="s">
        <v>707</v>
      </c>
      <c r="S587" s="146"/>
      <c r="T587" s="146"/>
      <c r="U587" s="146"/>
    </row>
    <row r="588" spans="1:21" s="114" customFormat="1" hidden="1" x14ac:dyDescent="0.35">
      <c r="A588" s="215" t="s">
        <v>599</v>
      </c>
      <c r="B588" s="215" t="s">
        <v>704</v>
      </c>
      <c r="C588" s="215" t="s">
        <v>705</v>
      </c>
      <c r="D588" s="215" t="s">
        <v>420</v>
      </c>
      <c r="E588" s="215">
        <v>2</v>
      </c>
      <c r="F588" s="215" t="s">
        <v>706</v>
      </c>
      <c r="H588" s="197"/>
      <c r="I588" s="197"/>
      <c r="J588" s="197"/>
      <c r="K588" s="197"/>
      <c r="M588" s="100" t="s">
        <v>535</v>
      </c>
      <c r="N588" s="100" t="s">
        <v>323</v>
      </c>
      <c r="O588" s="100"/>
      <c r="P588" s="100"/>
      <c r="R588" s="100" t="s">
        <v>535</v>
      </c>
      <c r="S588" s="100" t="s">
        <v>323</v>
      </c>
      <c r="T588" s="100"/>
      <c r="U588" s="100"/>
    </row>
    <row r="589" spans="1:21" s="114" customFormat="1" hidden="1" x14ac:dyDescent="0.35">
      <c r="A589" s="215" t="s">
        <v>599</v>
      </c>
      <c r="B589" s="215" t="s">
        <v>704</v>
      </c>
      <c r="C589" s="215" t="s">
        <v>705</v>
      </c>
      <c r="D589" s="215" t="s">
        <v>420</v>
      </c>
      <c r="E589" s="215">
        <v>3</v>
      </c>
      <c r="F589" s="215" t="s">
        <v>706</v>
      </c>
      <c r="H589" s="197"/>
      <c r="I589" s="197"/>
      <c r="J589" s="197"/>
      <c r="K589" s="197"/>
      <c r="M589" s="115" t="s">
        <v>537</v>
      </c>
      <c r="N589" s="100" t="s">
        <v>588</v>
      </c>
      <c r="O589" s="115" t="s">
        <v>539</v>
      </c>
      <c r="P589" s="100">
        <v>400</v>
      </c>
      <c r="R589" s="115" t="s">
        <v>537</v>
      </c>
      <c r="S589" s="100" t="s">
        <v>103</v>
      </c>
      <c r="T589" s="115" t="s">
        <v>539</v>
      </c>
      <c r="U589" s="100">
        <v>600</v>
      </c>
    </row>
    <row r="590" spans="1:21" s="114" customFormat="1" hidden="1" x14ac:dyDescent="0.35">
      <c r="A590" s="215" t="s">
        <v>599</v>
      </c>
      <c r="B590" s="215" t="s">
        <v>704</v>
      </c>
      <c r="C590" s="215" t="s">
        <v>705</v>
      </c>
      <c r="D590" s="215" t="s">
        <v>420</v>
      </c>
      <c r="E590" s="215">
        <v>4</v>
      </c>
      <c r="F590" s="215" t="s">
        <v>706</v>
      </c>
      <c r="H590" s="197"/>
      <c r="I590" s="197"/>
      <c r="J590" s="197"/>
      <c r="K590" s="197"/>
      <c r="M590" s="100" t="s">
        <v>90</v>
      </c>
      <c r="N590" s="100">
        <v>3200</v>
      </c>
      <c r="O590" s="115" t="s">
        <v>540</v>
      </c>
      <c r="P590" s="100">
        <v>12</v>
      </c>
      <c r="R590" s="100" t="s">
        <v>90</v>
      </c>
      <c r="S590" s="100">
        <v>1600</v>
      </c>
      <c r="T590" s="115" t="s">
        <v>540</v>
      </c>
      <c r="U590" s="100">
        <v>6</v>
      </c>
    </row>
    <row r="591" spans="1:21" s="114" customFormat="1" hidden="1" x14ac:dyDescent="0.35">
      <c r="A591" s="215" t="s">
        <v>599</v>
      </c>
      <c r="B591" s="215" t="s">
        <v>704</v>
      </c>
      <c r="C591" s="215" t="s">
        <v>705</v>
      </c>
      <c r="D591" s="215" t="s">
        <v>420</v>
      </c>
      <c r="E591" s="215">
        <v>5</v>
      </c>
      <c r="F591" s="215" t="s">
        <v>706</v>
      </c>
      <c r="H591" s="197"/>
      <c r="I591" s="197"/>
      <c r="J591" s="197"/>
      <c r="K591" s="197"/>
      <c r="M591" s="136" t="s">
        <v>300</v>
      </c>
      <c r="N591" s="137" t="s">
        <v>105</v>
      </c>
      <c r="O591" s="137" t="s">
        <v>302</v>
      </c>
      <c r="P591" s="138" t="s">
        <v>542</v>
      </c>
      <c r="R591" s="136" t="s">
        <v>300</v>
      </c>
      <c r="S591" s="137" t="s">
        <v>86</v>
      </c>
      <c r="T591" s="137" t="s">
        <v>302</v>
      </c>
      <c r="U591" s="138" t="s">
        <v>542</v>
      </c>
    </row>
    <row r="592" spans="1:21" s="114" customFormat="1" hidden="1" x14ac:dyDescent="0.35">
      <c r="A592" s="215" t="s">
        <v>599</v>
      </c>
      <c r="B592" s="215" t="s">
        <v>704</v>
      </c>
      <c r="C592" s="215" t="s">
        <v>705</v>
      </c>
      <c r="D592" s="215" t="s">
        <v>420</v>
      </c>
      <c r="E592" s="215">
        <v>6</v>
      </c>
      <c r="F592" s="215" t="s">
        <v>706</v>
      </c>
      <c r="H592" s="197"/>
      <c r="I592" s="197"/>
      <c r="J592" s="197"/>
      <c r="K592" s="197"/>
      <c r="M592" s="50" t="s">
        <v>73</v>
      </c>
      <c r="N592" s="192">
        <f>P580</f>
        <v>1.4624999999712001</v>
      </c>
      <c r="O592" s="134">
        <f>N592*N$597</f>
        <v>14.624999999712001</v>
      </c>
      <c r="P592" s="149">
        <f>O592</f>
        <v>14.624999999712001</v>
      </c>
      <c r="R592" s="50" t="s">
        <v>73</v>
      </c>
      <c r="S592" s="169">
        <f>U580</f>
        <v>6.29</v>
      </c>
      <c r="T592" s="134">
        <f>S592*S597</f>
        <v>62.9</v>
      </c>
      <c r="U592" s="149">
        <f>T592</f>
        <v>62.9</v>
      </c>
    </row>
    <row r="593" spans="1:31" s="114" customFormat="1" hidden="1" x14ac:dyDescent="0.35">
      <c r="A593" s="215" t="s">
        <v>599</v>
      </c>
      <c r="B593" s="215" t="s">
        <v>704</v>
      </c>
      <c r="C593" s="215" t="s">
        <v>705</v>
      </c>
      <c r="D593" s="215" t="s">
        <v>420</v>
      </c>
      <c r="E593" s="215">
        <v>7</v>
      </c>
      <c r="F593" s="215" t="s">
        <v>706</v>
      </c>
      <c r="H593" s="197"/>
      <c r="I593" s="197"/>
      <c r="J593" s="197"/>
      <c r="K593" s="197"/>
      <c r="M593" s="50" t="s">
        <v>23</v>
      </c>
      <c r="N593" s="194">
        <f>P581</f>
        <v>148.04964539006397</v>
      </c>
      <c r="O593" s="134">
        <f>N593*N$597</f>
        <v>1480.4964539006396</v>
      </c>
      <c r="P593" s="149">
        <f>O593</f>
        <v>1480.4964539006396</v>
      </c>
      <c r="R593" s="50" t="s">
        <v>23</v>
      </c>
      <c r="S593" s="169">
        <f>U581</f>
        <v>595</v>
      </c>
      <c r="T593" s="134">
        <f>S593*S597</f>
        <v>5950</v>
      </c>
      <c r="U593" s="149">
        <f>T593</f>
        <v>5950</v>
      </c>
    </row>
    <row r="594" spans="1:31" s="114" customFormat="1" hidden="1" x14ac:dyDescent="0.35">
      <c r="A594" s="215" t="s">
        <v>599</v>
      </c>
      <c r="B594" s="215" t="s">
        <v>704</v>
      </c>
      <c r="C594" s="215" t="s">
        <v>705</v>
      </c>
      <c r="D594" s="215" t="s">
        <v>420</v>
      </c>
      <c r="E594" s="215">
        <v>8</v>
      </c>
      <c r="F594" s="215" t="s">
        <v>706</v>
      </c>
      <c r="H594" s="197"/>
      <c r="I594" s="197"/>
      <c r="J594" s="197"/>
      <c r="K594" s="197"/>
      <c r="M594" s="62" t="s">
        <v>25</v>
      </c>
      <c r="N594" s="193">
        <f>P582</f>
        <v>0.96665000002559998</v>
      </c>
      <c r="O594" s="134">
        <f>N594*N$597</f>
        <v>9.6665000002560006</v>
      </c>
      <c r="P594" s="155">
        <f>O594</f>
        <v>9.6665000002560006</v>
      </c>
      <c r="R594" s="62" t="s">
        <v>25</v>
      </c>
      <c r="S594" s="176">
        <f>U582</f>
        <v>2.42</v>
      </c>
      <c r="T594" s="72">
        <f>S594*S597</f>
        <v>24.2</v>
      </c>
      <c r="U594" s="155">
        <f>T594</f>
        <v>24.2</v>
      </c>
    </row>
    <row r="595" spans="1:31" s="114" customFormat="1" hidden="1" x14ac:dyDescent="0.35">
      <c r="A595" s="215" t="s">
        <v>599</v>
      </c>
      <c r="B595" s="215" t="s">
        <v>704</v>
      </c>
      <c r="C595" s="215" t="s">
        <v>705</v>
      </c>
      <c r="D595" s="215" t="s">
        <v>420</v>
      </c>
      <c r="E595" s="215">
        <v>9</v>
      </c>
      <c r="F595" s="215" t="s">
        <v>706</v>
      </c>
      <c r="H595" s="197"/>
      <c r="I595" s="197"/>
      <c r="J595" s="197"/>
      <c r="K595" s="197"/>
      <c r="M595" s="47" t="s">
        <v>88</v>
      </c>
      <c r="N595" s="179">
        <v>357</v>
      </c>
      <c r="O595" s="179">
        <v>350</v>
      </c>
      <c r="P595" s="191">
        <f>O595</f>
        <v>350</v>
      </c>
      <c r="R595" s="47" t="s">
        <v>88</v>
      </c>
      <c r="S595" s="179">
        <v>60</v>
      </c>
      <c r="T595" s="179">
        <v>300</v>
      </c>
      <c r="U595" s="191">
        <f>T595</f>
        <v>300</v>
      </c>
    </row>
    <row r="596" spans="1:31" s="114" customFormat="1" hidden="1" x14ac:dyDescent="0.35">
      <c r="A596" s="215" t="s">
        <v>599</v>
      </c>
      <c r="B596" s="215" t="s">
        <v>704</v>
      </c>
      <c r="C596" s="215" t="s">
        <v>705</v>
      </c>
      <c r="D596" s="215" t="s">
        <v>420</v>
      </c>
      <c r="E596" s="215">
        <v>10</v>
      </c>
      <c r="F596" s="215" t="s">
        <v>706</v>
      </c>
      <c r="H596" s="197"/>
      <c r="I596" s="197"/>
      <c r="J596" s="197"/>
      <c r="K596" s="197"/>
      <c r="M596" s="62" t="s">
        <v>89</v>
      </c>
      <c r="N596" s="72">
        <v>0.2</v>
      </c>
      <c r="O596" s="72">
        <v>1.4999999999999999E-2</v>
      </c>
      <c r="P596" s="150">
        <f>O596</f>
        <v>1.4999999999999999E-2</v>
      </c>
      <c r="R596" s="62" t="s">
        <v>89</v>
      </c>
      <c r="S596" s="72">
        <v>1E-3</v>
      </c>
      <c r="T596" s="72">
        <v>0.01</v>
      </c>
      <c r="U596" s="150">
        <f>T596</f>
        <v>0.01</v>
      </c>
    </row>
    <row r="597" spans="1:31" s="114" customFormat="1" hidden="1" x14ac:dyDescent="0.35">
      <c r="A597" s="215" t="s">
        <v>599</v>
      </c>
      <c r="B597" s="215" t="s">
        <v>704</v>
      </c>
      <c r="C597" s="215" t="s">
        <v>705</v>
      </c>
      <c r="D597" s="215" t="s">
        <v>420</v>
      </c>
      <c r="E597" s="215">
        <v>11</v>
      </c>
      <c r="F597" s="215" t="s">
        <v>706</v>
      </c>
      <c r="H597" s="197"/>
      <c r="I597" s="197"/>
      <c r="J597" s="197"/>
      <c r="K597" s="197"/>
      <c r="M597" s="33" t="s">
        <v>303</v>
      </c>
      <c r="N597" s="135">
        <v>10</v>
      </c>
      <c r="O597" s="204"/>
      <c r="P597"/>
      <c r="R597" s="33" t="s">
        <v>303</v>
      </c>
      <c r="S597" s="135">
        <v>10</v>
      </c>
      <c r="T597" s="204"/>
      <c r="U597"/>
    </row>
    <row r="598" spans="1:31" s="124" customFormat="1" ht="15" hidden="1" thickBot="1" x14ac:dyDescent="0.4">
      <c r="A598" s="216" t="s">
        <v>599</v>
      </c>
      <c r="B598" s="216" t="s">
        <v>704</v>
      </c>
      <c r="C598" s="216" t="s">
        <v>705</v>
      </c>
      <c r="D598" s="216" t="s">
        <v>420</v>
      </c>
      <c r="E598" s="216">
        <v>12</v>
      </c>
      <c r="F598" s="216" t="s">
        <v>706</v>
      </c>
    </row>
    <row r="599" spans="1:31" s="16" customFormat="1" ht="18.5" hidden="1" x14ac:dyDescent="0.45">
      <c r="A599" s="215" t="s">
        <v>295</v>
      </c>
      <c r="B599" s="215" t="s">
        <v>708</v>
      </c>
      <c r="C599" s="215" t="s">
        <v>709</v>
      </c>
      <c r="D599" s="215" t="s">
        <v>420</v>
      </c>
      <c r="E599" s="215">
        <v>1</v>
      </c>
      <c r="F599" s="215" t="s">
        <v>706</v>
      </c>
      <c r="H599" s="232"/>
      <c r="I599" s="232"/>
      <c r="J599" s="232"/>
      <c r="K599" s="232"/>
      <c r="M599" s="146" t="s">
        <v>322</v>
      </c>
      <c r="N599" s="146"/>
      <c r="O599" s="146"/>
      <c r="P599" s="146"/>
      <c r="R599" s="146" t="s">
        <v>322</v>
      </c>
      <c r="S599" s="146"/>
      <c r="T599" s="146"/>
      <c r="U599" s="146"/>
      <c r="W599" s="146" t="s">
        <v>327</v>
      </c>
      <c r="X599" s="146"/>
      <c r="Y599" s="146"/>
      <c r="Z599" s="146"/>
      <c r="AB599" s="146" t="s">
        <v>328</v>
      </c>
      <c r="AC599" s="146"/>
      <c r="AD599" s="146"/>
      <c r="AE599" s="146"/>
    </row>
    <row r="600" spans="1:31" ht="15" hidden="1" customHeight="1" x14ac:dyDescent="0.35">
      <c r="A600" s="219" t="s">
        <v>295</v>
      </c>
      <c r="B600" s="219" t="s">
        <v>708</v>
      </c>
      <c r="C600" s="219" t="s">
        <v>709</v>
      </c>
      <c r="D600" s="219" t="s">
        <v>420</v>
      </c>
      <c r="E600" s="219">
        <v>2</v>
      </c>
      <c r="F600" s="219" t="s">
        <v>706</v>
      </c>
      <c r="G600" s="114"/>
      <c r="H600" s="197"/>
      <c r="I600" s="197"/>
      <c r="J600" s="197"/>
      <c r="K600" s="197"/>
      <c r="L600" s="114"/>
      <c r="M600" s="115" t="s">
        <v>535</v>
      </c>
      <c r="N600" s="115" t="s">
        <v>323</v>
      </c>
      <c r="O600" s="115"/>
      <c r="P600" s="115"/>
      <c r="Q600" s="114"/>
      <c r="R600" s="115" t="s">
        <v>535</v>
      </c>
      <c r="S600" s="115" t="s">
        <v>710</v>
      </c>
      <c r="T600" s="115"/>
      <c r="U600" s="115"/>
      <c r="V600" s="114"/>
      <c r="W600" s="115" t="s">
        <v>535</v>
      </c>
      <c r="X600" s="115" t="s">
        <v>325</v>
      </c>
      <c r="Y600" s="115"/>
      <c r="Z600" s="115"/>
      <c r="AA600" s="114"/>
      <c r="AB600" s="115" t="s">
        <v>535</v>
      </c>
      <c r="AC600" s="115" t="s">
        <v>326</v>
      </c>
      <c r="AD600" s="115"/>
      <c r="AE600" s="115"/>
    </row>
    <row r="601" spans="1:31" hidden="1" x14ac:dyDescent="0.35">
      <c r="A601" s="215" t="s">
        <v>295</v>
      </c>
      <c r="B601" s="215" t="s">
        <v>708</v>
      </c>
      <c r="C601" s="215" t="s">
        <v>709</v>
      </c>
      <c r="D601" s="215" t="s">
        <v>420</v>
      </c>
      <c r="E601" s="215">
        <v>3</v>
      </c>
      <c r="F601" s="215" t="s">
        <v>706</v>
      </c>
      <c r="H601" s="181"/>
      <c r="I601" s="181"/>
      <c r="J601" s="181"/>
      <c r="K601" s="181"/>
      <c r="M601" s="115" t="s">
        <v>537</v>
      </c>
      <c r="N601" s="100" t="s">
        <v>588</v>
      </c>
      <c r="O601" s="115" t="s">
        <v>539</v>
      </c>
      <c r="P601" s="100">
        <v>400</v>
      </c>
      <c r="R601" s="115" t="s">
        <v>537</v>
      </c>
      <c r="S601" s="100" t="s">
        <v>103</v>
      </c>
      <c r="T601" s="115" t="s">
        <v>539</v>
      </c>
      <c r="U601" s="100">
        <v>600</v>
      </c>
      <c r="W601" s="115" t="s">
        <v>537</v>
      </c>
      <c r="X601" s="100" t="s">
        <v>711</v>
      </c>
      <c r="Y601" s="115" t="s">
        <v>539</v>
      </c>
      <c r="Z601" s="100">
        <v>1200</v>
      </c>
      <c r="AB601" s="115" t="s">
        <v>537</v>
      </c>
      <c r="AC601" s="100" t="s">
        <v>588</v>
      </c>
      <c r="AD601" s="115" t="s">
        <v>539</v>
      </c>
      <c r="AE601" s="100">
        <v>3000</v>
      </c>
    </row>
    <row r="602" spans="1:31" hidden="1" x14ac:dyDescent="0.35">
      <c r="A602" s="215" t="s">
        <v>295</v>
      </c>
      <c r="B602" s="215" t="s">
        <v>708</v>
      </c>
      <c r="C602" s="215" t="s">
        <v>709</v>
      </c>
      <c r="D602" s="215" t="s">
        <v>420</v>
      </c>
      <c r="E602" s="215">
        <v>4</v>
      </c>
      <c r="F602" s="215" t="s">
        <v>706</v>
      </c>
      <c r="H602" s="197"/>
      <c r="I602" s="181"/>
      <c r="J602" s="181"/>
      <c r="K602" s="197"/>
      <c r="M602" s="100" t="s">
        <v>90</v>
      </c>
      <c r="N602" s="100">
        <v>3200</v>
      </c>
      <c r="O602" s="115" t="s">
        <v>540</v>
      </c>
      <c r="P602" s="100">
        <v>12</v>
      </c>
      <c r="R602" s="100" t="s">
        <v>90</v>
      </c>
      <c r="S602" s="100">
        <v>1600</v>
      </c>
      <c r="T602" s="115" t="s">
        <v>540</v>
      </c>
      <c r="U602" s="100">
        <v>6</v>
      </c>
      <c r="W602" s="100" t="s">
        <v>90</v>
      </c>
      <c r="X602" s="100">
        <v>2000</v>
      </c>
      <c r="Y602" s="115" t="s">
        <v>540</v>
      </c>
      <c r="Z602" s="100">
        <v>6</v>
      </c>
      <c r="AB602" s="100" t="s">
        <v>90</v>
      </c>
      <c r="AC602" s="100">
        <v>2000</v>
      </c>
      <c r="AD602" s="115" t="s">
        <v>540</v>
      </c>
      <c r="AE602" s="100">
        <v>7</v>
      </c>
    </row>
    <row r="603" spans="1:31" hidden="1" x14ac:dyDescent="0.35">
      <c r="A603" s="219" t="s">
        <v>295</v>
      </c>
      <c r="B603" s="219" t="s">
        <v>708</v>
      </c>
      <c r="C603" s="219" t="s">
        <v>709</v>
      </c>
      <c r="D603" s="219" t="s">
        <v>420</v>
      </c>
      <c r="E603" s="219">
        <v>5</v>
      </c>
      <c r="F603" s="219" t="s">
        <v>706</v>
      </c>
      <c r="G603" s="114"/>
      <c r="H603" s="197"/>
      <c r="I603" s="197"/>
      <c r="J603" s="197"/>
      <c r="K603" s="197"/>
      <c r="L603" s="114"/>
      <c r="M603" s="136" t="s">
        <v>300</v>
      </c>
      <c r="N603" s="137" t="s">
        <v>105</v>
      </c>
      <c r="O603" s="137" t="s">
        <v>302</v>
      </c>
      <c r="P603" s="138" t="s">
        <v>542</v>
      </c>
      <c r="Q603" s="114"/>
      <c r="R603" s="136" t="s">
        <v>300</v>
      </c>
      <c r="S603" s="137" t="s">
        <v>86</v>
      </c>
      <c r="T603" s="137" t="s">
        <v>302</v>
      </c>
      <c r="U603" s="138" t="s">
        <v>542</v>
      </c>
      <c r="V603" s="114"/>
      <c r="W603" s="136" t="s">
        <v>300</v>
      </c>
      <c r="X603" s="137" t="s">
        <v>279</v>
      </c>
      <c r="Y603" s="137" t="s">
        <v>302</v>
      </c>
      <c r="Z603" s="138" t="s">
        <v>542</v>
      </c>
      <c r="AA603" s="114"/>
      <c r="AB603" s="136" t="s">
        <v>300</v>
      </c>
      <c r="AC603" s="137" t="s">
        <v>329</v>
      </c>
      <c r="AD603" s="137" t="s">
        <v>302</v>
      </c>
      <c r="AE603" s="138" t="s">
        <v>542</v>
      </c>
    </row>
    <row r="604" spans="1:31" hidden="1" x14ac:dyDescent="0.35">
      <c r="A604" s="215" t="s">
        <v>295</v>
      </c>
      <c r="B604" s="215" t="s">
        <v>708</v>
      </c>
      <c r="C604" s="215" t="s">
        <v>709</v>
      </c>
      <c r="D604" s="215" t="s">
        <v>420</v>
      </c>
      <c r="E604" s="215">
        <v>6</v>
      </c>
      <c r="F604" s="215" t="s">
        <v>706</v>
      </c>
      <c r="H604" s="181"/>
      <c r="I604" s="181"/>
      <c r="J604" s="181"/>
      <c r="K604" s="181"/>
      <c r="M604" s="62" t="s">
        <v>73</v>
      </c>
      <c r="N604" s="72">
        <v>240</v>
      </c>
      <c r="O604" s="72">
        <f>N604*N607</f>
        <v>120</v>
      </c>
      <c r="P604" s="155">
        <f>O604</f>
        <v>120</v>
      </c>
      <c r="R604" s="62" t="s">
        <v>73</v>
      </c>
      <c r="S604" s="72">
        <v>85</v>
      </c>
      <c r="T604" s="72">
        <f>S604*S607</f>
        <v>255</v>
      </c>
      <c r="U604" s="159">
        <f>T604</f>
        <v>255</v>
      </c>
      <c r="W604" s="62" t="s">
        <v>279</v>
      </c>
      <c r="X604" s="72">
        <v>500</v>
      </c>
      <c r="Y604" s="72">
        <v>125</v>
      </c>
      <c r="Z604" s="155">
        <f>Y604</f>
        <v>125</v>
      </c>
      <c r="AB604" s="62" t="s">
        <v>262</v>
      </c>
      <c r="AC604" s="72">
        <v>500</v>
      </c>
      <c r="AD604" s="72">
        <f>AC604*AC607</f>
        <v>125</v>
      </c>
      <c r="AE604" s="155">
        <f>AD604</f>
        <v>125</v>
      </c>
    </row>
    <row r="605" spans="1:31" hidden="1" x14ac:dyDescent="0.35">
      <c r="A605" s="215" t="s">
        <v>295</v>
      </c>
      <c r="B605" s="215" t="s">
        <v>708</v>
      </c>
      <c r="C605" s="215" t="s">
        <v>709</v>
      </c>
      <c r="D605" s="215" t="s">
        <v>420</v>
      </c>
      <c r="E605" s="215">
        <v>7</v>
      </c>
      <c r="F605" s="215" t="s">
        <v>706</v>
      </c>
      <c r="H605" s="197"/>
      <c r="I605" s="197"/>
      <c r="J605" s="197"/>
      <c r="K605" s="197"/>
      <c r="M605" s="50" t="s">
        <v>88</v>
      </c>
      <c r="N605" s="134">
        <v>357</v>
      </c>
      <c r="O605" s="134">
        <f>N605*N607</f>
        <v>178.5</v>
      </c>
      <c r="P605" s="149">
        <f>O605</f>
        <v>178.5</v>
      </c>
      <c r="R605" s="47" t="s">
        <v>88</v>
      </c>
      <c r="S605" s="179">
        <f>302-32</f>
        <v>270</v>
      </c>
      <c r="T605" s="179">
        <f>S605*S607</f>
        <v>810</v>
      </c>
      <c r="U605" s="180">
        <f>T605</f>
        <v>810</v>
      </c>
      <c r="W605" s="50" t="s">
        <v>88</v>
      </c>
      <c r="X605" s="134">
        <v>150</v>
      </c>
      <c r="Y605" s="134">
        <f>X605*X607</f>
        <v>37.5</v>
      </c>
      <c r="Z605" s="149">
        <f>Y605</f>
        <v>37.5</v>
      </c>
      <c r="AB605" s="50" t="s">
        <v>88</v>
      </c>
      <c r="AC605" s="134">
        <v>500</v>
      </c>
      <c r="AD605" s="134">
        <f>AC605*AC607</f>
        <v>125</v>
      </c>
      <c r="AE605" s="149">
        <f>AD605</f>
        <v>125</v>
      </c>
    </row>
    <row r="606" spans="1:31" hidden="1" x14ac:dyDescent="0.35">
      <c r="A606" s="215" t="s">
        <v>295</v>
      </c>
      <c r="B606" s="215" t="s">
        <v>708</v>
      </c>
      <c r="C606" s="215" t="s">
        <v>709</v>
      </c>
      <c r="D606" s="215" t="s">
        <v>420</v>
      </c>
      <c r="E606" s="215">
        <v>8</v>
      </c>
      <c r="F606" s="215" t="s">
        <v>706</v>
      </c>
      <c r="H606" s="197"/>
      <c r="I606" s="190"/>
      <c r="J606" s="181"/>
      <c r="K606" s="197"/>
      <c r="M606" s="62" t="s">
        <v>89</v>
      </c>
      <c r="N606" s="72">
        <v>0.2</v>
      </c>
      <c r="O606" s="72">
        <f>IF(O607="1.25m",(N606*N607)-(SUM(QuadCoreMass,CS125Mass)*N607),N606*N607)</f>
        <v>0.1</v>
      </c>
      <c r="P606" s="150">
        <f>O606</f>
        <v>0.1</v>
      </c>
      <c r="R606" s="62" t="s">
        <v>89</v>
      </c>
      <c r="S606" s="72">
        <v>2.2499999999999999E-4</v>
      </c>
      <c r="T606" s="72">
        <f>S606*S607</f>
        <v>6.7500000000000004E-4</v>
      </c>
      <c r="U606" s="159">
        <f>ROUNDUP(T606,3)</f>
        <v>1E-3</v>
      </c>
      <c r="W606" s="62" t="s">
        <v>89</v>
      </c>
      <c r="X606" s="72">
        <v>0.05</v>
      </c>
      <c r="Y606" s="72">
        <f>X606*X607</f>
        <v>1.2500000000000001E-2</v>
      </c>
      <c r="Z606" s="150">
        <f>Y606</f>
        <v>1.2500000000000001E-2</v>
      </c>
      <c r="AB606" s="62" t="s">
        <v>89</v>
      </c>
      <c r="AC606" s="72">
        <v>0.2</v>
      </c>
      <c r="AD606" s="72">
        <f>AC606*AC607</f>
        <v>0.05</v>
      </c>
      <c r="AE606" s="150">
        <f>AD606</f>
        <v>0.05</v>
      </c>
    </row>
    <row r="607" spans="1:31" hidden="1" x14ac:dyDescent="0.35">
      <c r="A607" s="215" t="s">
        <v>295</v>
      </c>
      <c r="B607" s="215" t="s">
        <v>708</v>
      </c>
      <c r="C607" s="215" t="s">
        <v>709</v>
      </c>
      <c r="D607" s="215" t="s">
        <v>420</v>
      </c>
      <c r="E607" s="215">
        <v>9</v>
      </c>
      <c r="F607" s="215" t="s">
        <v>706</v>
      </c>
      <c r="H607" s="197"/>
      <c r="I607" s="197"/>
      <c r="J607" s="197"/>
      <c r="K607" s="197"/>
      <c r="M607" s="33" t="s">
        <v>303</v>
      </c>
      <c r="N607" s="135">
        <v>0.5</v>
      </c>
      <c r="P607"/>
      <c r="R607" t="s">
        <v>303</v>
      </c>
      <c r="S607" s="135">
        <v>3</v>
      </c>
      <c r="U607"/>
      <c r="W607" t="s">
        <v>303</v>
      </c>
      <c r="X607" s="135">
        <v>0.25</v>
      </c>
      <c r="AB607" t="s">
        <v>303</v>
      </c>
      <c r="AC607" s="135">
        <v>0.25</v>
      </c>
      <c r="AE607"/>
    </row>
    <row r="608" spans="1:31" s="124" customFormat="1" ht="15" hidden="1" thickBot="1" x14ac:dyDescent="0.4">
      <c r="A608" s="216" t="s">
        <v>295</v>
      </c>
      <c r="B608" s="216" t="s">
        <v>708</v>
      </c>
      <c r="C608" s="216" t="s">
        <v>709</v>
      </c>
      <c r="D608" s="216" t="s">
        <v>420</v>
      </c>
      <c r="E608" s="216">
        <v>10</v>
      </c>
      <c r="F608" s="216" t="s">
        <v>706</v>
      </c>
    </row>
    <row r="609" spans="1:21" s="16" customFormat="1" ht="18.5" hidden="1" x14ac:dyDescent="0.45">
      <c r="A609" s="215" t="s">
        <v>295</v>
      </c>
      <c r="B609" s="215" t="s">
        <v>712</v>
      </c>
      <c r="C609" s="215" t="s">
        <v>713</v>
      </c>
      <c r="D609" s="215" t="s">
        <v>420</v>
      </c>
      <c r="E609" s="215">
        <v>1</v>
      </c>
      <c r="F609" s="215" t="s">
        <v>706</v>
      </c>
      <c r="H609" s="116" t="s">
        <v>333</v>
      </c>
      <c r="I609" s="116"/>
      <c r="J609" s="116"/>
      <c r="K609" s="116"/>
      <c r="M609" s="146" t="s">
        <v>333</v>
      </c>
      <c r="N609" s="146"/>
      <c r="O609" s="146"/>
      <c r="P609" s="146"/>
      <c r="R609" s="146" t="s">
        <v>333</v>
      </c>
      <c r="S609" s="146"/>
      <c r="T609" s="146"/>
      <c r="U609" s="146"/>
    </row>
    <row r="610" spans="1:21" hidden="1" x14ac:dyDescent="0.35">
      <c r="A610" s="215" t="s">
        <v>295</v>
      </c>
      <c r="B610" s="215" t="s">
        <v>712</v>
      </c>
      <c r="C610" s="215" t="s">
        <v>713</v>
      </c>
      <c r="D610" s="215" t="s">
        <v>420</v>
      </c>
      <c r="E610" s="215">
        <v>2</v>
      </c>
      <c r="F610" s="215" t="s">
        <v>706</v>
      </c>
      <c r="H610" s="115" t="s">
        <v>535</v>
      </c>
      <c r="I610" s="115" t="s">
        <v>334</v>
      </c>
      <c r="J610" s="115"/>
      <c r="K610" s="115"/>
      <c r="M610" s="115" t="s">
        <v>535</v>
      </c>
      <c r="N610" s="115" t="s">
        <v>334</v>
      </c>
      <c r="O610" s="115"/>
      <c r="P610" s="115"/>
      <c r="R610" s="100" t="s">
        <v>535</v>
      </c>
      <c r="S610" s="100" t="s">
        <v>710</v>
      </c>
      <c r="T610" s="100"/>
      <c r="U610" s="100"/>
    </row>
    <row r="611" spans="1:21" hidden="1" x14ac:dyDescent="0.35">
      <c r="A611" s="215" t="s">
        <v>295</v>
      </c>
      <c r="B611" s="215" t="s">
        <v>712</v>
      </c>
      <c r="C611" s="215" t="s">
        <v>713</v>
      </c>
      <c r="D611" s="215" t="s">
        <v>420</v>
      </c>
      <c r="E611" s="215">
        <v>3</v>
      </c>
      <c r="F611" s="215" t="s">
        <v>706</v>
      </c>
      <c r="H611" s="115" t="s">
        <v>537</v>
      </c>
      <c r="I611" s="115" t="s">
        <v>566</v>
      </c>
      <c r="J611" s="115" t="s">
        <v>539</v>
      </c>
      <c r="K611" s="115">
        <v>1000</v>
      </c>
      <c r="M611" s="115" t="s">
        <v>537</v>
      </c>
      <c r="N611" s="100" t="s">
        <v>588</v>
      </c>
      <c r="O611" s="115" t="s">
        <v>539</v>
      </c>
      <c r="P611" s="100">
        <v>400</v>
      </c>
      <c r="R611" s="115" t="s">
        <v>537</v>
      </c>
      <c r="S611" s="100" t="s">
        <v>103</v>
      </c>
      <c r="T611" s="115" t="s">
        <v>539</v>
      </c>
      <c r="U611" s="100">
        <v>600</v>
      </c>
    </row>
    <row r="612" spans="1:21" hidden="1" x14ac:dyDescent="0.35">
      <c r="A612" s="215" t="s">
        <v>295</v>
      </c>
      <c r="B612" s="215" t="s">
        <v>712</v>
      </c>
      <c r="C612" s="215" t="s">
        <v>713</v>
      </c>
      <c r="D612" s="215" t="s">
        <v>420</v>
      </c>
      <c r="E612" s="215">
        <v>4</v>
      </c>
      <c r="F612" s="215" t="s">
        <v>706</v>
      </c>
      <c r="H612" s="115" t="s">
        <v>90</v>
      </c>
      <c r="I612" s="115">
        <v>3200</v>
      </c>
      <c r="J612" s="115" t="s">
        <v>540</v>
      </c>
      <c r="K612" s="115">
        <v>12</v>
      </c>
      <c r="M612" s="100" t="s">
        <v>90</v>
      </c>
      <c r="N612" s="100">
        <v>3200</v>
      </c>
      <c r="O612" s="115" t="s">
        <v>540</v>
      </c>
      <c r="P612" s="100">
        <v>12</v>
      </c>
      <c r="R612" s="100" t="s">
        <v>90</v>
      </c>
      <c r="S612" s="100">
        <v>1600</v>
      </c>
      <c r="T612" s="115" t="s">
        <v>540</v>
      </c>
      <c r="U612" s="100">
        <v>6</v>
      </c>
    </row>
    <row r="613" spans="1:21" hidden="1" x14ac:dyDescent="0.35">
      <c r="A613" s="215" t="s">
        <v>295</v>
      </c>
      <c r="B613" s="215" t="s">
        <v>712</v>
      </c>
      <c r="C613" s="215" t="s">
        <v>713</v>
      </c>
      <c r="D613" s="215" t="s">
        <v>420</v>
      </c>
      <c r="E613" s="215">
        <v>5</v>
      </c>
      <c r="F613" s="215" t="s">
        <v>706</v>
      </c>
      <c r="H613" s="136" t="s">
        <v>300</v>
      </c>
      <c r="I613" s="137" t="s">
        <v>105</v>
      </c>
      <c r="J613" s="137" t="s">
        <v>302</v>
      </c>
      <c r="K613" s="138" t="s">
        <v>542</v>
      </c>
      <c r="M613" s="136" t="s">
        <v>300</v>
      </c>
      <c r="N613" s="137" t="s">
        <v>105</v>
      </c>
      <c r="O613" s="137" t="s">
        <v>302</v>
      </c>
      <c r="P613" s="138" t="s">
        <v>542</v>
      </c>
      <c r="R613" s="136" t="s">
        <v>300</v>
      </c>
      <c r="S613" s="137" t="s">
        <v>86</v>
      </c>
      <c r="T613" s="137" t="s">
        <v>302</v>
      </c>
      <c r="U613" s="138" t="s">
        <v>542</v>
      </c>
    </row>
    <row r="614" spans="1:21" hidden="1" x14ac:dyDescent="0.35">
      <c r="A614" s="215" t="s">
        <v>295</v>
      </c>
      <c r="B614" s="215" t="s">
        <v>712</v>
      </c>
      <c r="C614" s="215" t="s">
        <v>713</v>
      </c>
      <c r="D614" s="215" t="s">
        <v>420</v>
      </c>
      <c r="E614" s="215">
        <v>6</v>
      </c>
      <c r="F614" s="215" t="s">
        <v>706</v>
      </c>
      <c r="H614" s="62" t="s">
        <v>25</v>
      </c>
      <c r="I614" s="72">
        <v>240</v>
      </c>
      <c r="J614" s="72">
        <v>120</v>
      </c>
      <c r="K614" s="155">
        <f>J614</f>
        <v>120</v>
      </c>
      <c r="M614" s="62" t="s">
        <v>25</v>
      </c>
      <c r="N614" s="72">
        <v>240</v>
      </c>
      <c r="O614" s="72">
        <f>N614*N617</f>
        <v>120</v>
      </c>
      <c r="P614" s="155">
        <f>O614</f>
        <v>120</v>
      </c>
      <c r="R614" s="50" t="s">
        <v>25</v>
      </c>
      <c r="S614" s="134">
        <v>220</v>
      </c>
      <c r="T614" s="134">
        <f>S614*S617</f>
        <v>660</v>
      </c>
      <c r="U614" s="153">
        <f>T614</f>
        <v>660</v>
      </c>
    </row>
    <row r="615" spans="1:21" hidden="1" x14ac:dyDescent="0.35">
      <c r="A615" s="215" t="s">
        <v>295</v>
      </c>
      <c r="B615" s="215" t="s">
        <v>712</v>
      </c>
      <c r="C615" s="215" t="s">
        <v>713</v>
      </c>
      <c r="D615" s="215" t="s">
        <v>420</v>
      </c>
      <c r="E615" s="215">
        <v>7</v>
      </c>
      <c r="F615" s="215" t="s">
        <v>706</v>
      </c>
      <c r="H615" s="50" t="s">
        <v>88</v>
      </c>
      <c r="I615" s="134">
        <v>300</v>
      </c>
      <c r="J615" s="134">
        <f>I615*I617</f>
        <v>150</v>
      </c>
      <c r="K615" s="149">
        <f>J615</f>
        <v>150</v>
      </c>
      <c r="M615" s="50" t="s">
        <v>88</v>
      </c>
      <c r="N615" s="134">
        <v>300</v>
      </c>
      <c r="O615" s="134">
        <f>N615*N617</f>
        <v>150</v>
      </c>
      <c r="P615" s="149">
        <f>O615</f>
        <v>150</v>
      </c>
      <c r="R615" s="47" t="s">
        <v>88</v>
      </c>
      <c r="S615" s="179">
        <f>282-32</f>
        <v>250</v>
      </c>
      <c r="T615" s="179">
        <f>S615*S617</f>
        <v>750</v>
      </c>
      <c r="U615" s="180">
        <f>T615</f>
        <v>750</v>
      </c>
    </row>
    <row r="616" spans="1:21" hidden="1" x14ac:dyDescent="0.35">
      <c r="A616" s="215" t="s">
        <v>295</v>
      </c>
      <c r="B616" s="215" t="s">
        <v>712</v>
      </c>
      <c r="C616" s="215" t="s">
        <v>713</v>
      </c>
      <c r="D616" s="215" t="s">
        <v>420</v>
      </c>
      <c r="E616" s="215">
        <v>8</v>
      </c>
      <c r="F616" s="215" t="s">
        <v>706</v>
      </c>
      <c r="H616" s="62" t="s">
        <v>89</v>
      </c>
      <c r="I616" s="72">
        <v>0.2</v>
      </c>
      <c r="J616" s="72">
        <f>IF(J617="1.25m",($I616*I617)-(SUM(QuadCoreMass,CS125Mass)*I617),$I616*I617)</f>
        <v>0.1</v>
      </c>
      <c r="K616" s="150">
        <f>J616</f>
        <v>0.1</v>
      </c>
      <c r="M616" s="62" t="s">
        <v>89</v>
      </c>
      <c r="N616" s="72">
        <v>0.2</v>
      </c>
      <c r="O616" s="72">
        <f>IF(O617="1.25m",(N616*N617)-(SUM(QuadCoreMass,CS125Mass)*N617),N616*N617)</f>
        <v>0.1</v>
      </c>
      <c r="P616" s="150">
        <f>O616</f>
        <v>0.1</v>
      </c>
      <c r="R616" s="62" t="s">
        <v>89</v>
      </c>
      <c r="S616" s="72">
        <v>2.2499999999999999E-4</v>
      </c>
      <c r="T616" s="72">
        <f>S616*S617</f>
        <v>6.7500000000000004E-4</v>
      </c>
      <c r="U616" s="159">
        <f>ROUNDUP(T616,3)</f>
        <v>1E-3</v>
      </c>
    </row>
    <row r="617" spans="1:21" hidden="1" x14ac:dyDescent="0.35">
      <c r="A617" s="215" t="s">
        <v>295</v>
      </c>
      <c r="B617" s="215" t="s">
        <v>712</v>
      </c>
      <c r="C617" s="215" t="s">
        <v>713</v>
      </c>
      <c r="D617" s="215" t="s">
        <v>420</v>
      </c>
      <c r="E617" s="215">
        <v>9</v>
      </c>
      <c r="F617" s="215" t="s">
        <v>706</v>
      </c>
      <c r="H617" s="230" t="s">
        <v>303</v>
      </c>
      <c r="I617" s="135">
        <v>0.5</v>
      </c>
      <c r="J617" s="135" t="s">
        <v>44</v>
      </c>
      <c r="K617" s="134"/>
      <c r="M617" s="33" t="s">
        <v>303</v>
      </c>
      <c r="N617" s="135">
        <v>0.5</v>
      </c>
      <c r="P617"/>
      <c r="R617" t="s">
        <v>303</v>
      </c>
      <c r="S617" s="135">
        <v>3</v>
      </c>
      <c r="U617"/>
    </row>
    <row r="618" spans="1:21" s="124" customFormat="1" ht="15" hidden="1" thickBot="1" x14ac:dyDescent="0.4">
      <c r="A618" s="216" t="s">
        <v>295</v>
      </c>
      <c r="B618" s="216" t="s">
        <v>712</v>
      </c>
      <c r="C618" s="216" t="s">
        <v>713</v>
      </c>
      <c r="D618" s="216" t="s">
        <v>420</v>
      </c>
      <c r="E618" s="216">
        <v>10</v>
      </c>
      <c r="F618" s="216" t="s">
        <v>706</v>
      </c>
    </row>
    <row r="619" spans="1:21" s="16" customFormat="1" ht="18.5" x14ac:dyDescent="0.45">
      <c r="A619" s="215" t="s">
        <v>295</v>
      </c>
      <c r="B619" s="215" t="s">
        <v>714</v>
      </c>
      <c r="C619" s="215" t="s">
        <v>715</v>
      </c>
      <c r="D619" s="215" t="s">
        <v>420</v>
      </c>
      <c r="E619" s="215">
        <v>1</v>
      </c>
      <c r="F619" s="215" t="s">
        <v>74</v>
      </c>
      <c r="H619" s="189"/>
      <c r="I619" s="189"/>
      <c r="J619" s="189"/>
      <c r="K619" s="189"/>
      <c r="M619" s="116" t="s">
        <v>338</v>
      </c>
      <c r="N619" s="116"/>
      <c r="O619" s="116"/>
      <c r="P619" s="116"/>
      <c r="R619" s="116" t="s">
        <v>338</v>
      </c>
      <c r="S619" s="116"/>
      <c r="T619" s="116"/>
      <c r="U619" s="116"/>
    </row>
    <row r="620" spans="1:21" x14ac:dyDescent="0.35">
      <c r="A620" s="215" t="s">
        <v>295</v>
      </c>
      <c r="B620" s="215" t="s">
        <v>714</v>
      </c>
      <c r="C620" s="215" t="s">
        <v>715</v>
      </c>
      <c r="D620" s="215" t="s">
        <v>420</v>
      </c>
      <c r="E620" s="215">
        <v>2</v>
      </c>
      <c r="F620" s="215" t="s">
        <v>74</v>
      </c>
      <c r="H620" s="114"/>
      <c r="I620" s="114"/>
      <c r="J620" s="114"/>
      <c r="K620" s="114"/>
      <c r="M620" s="115" t="s">
        <v>535</v>
      </c>
      <c r="N620" s="115" t="s">
        <v>331</v>
      </c>
      <c r="O620" s="115"/>
      <c r="P620" s="115"/>
      <c r="R620" s="115" t="s">
        <v>535</v>
      </c>
      <c r="S620" s="115" t="s">
        <v>716</v>
      </c>
      <c r="T620" s="115"/>
      <c r="U620" s="115"/>
    </row>
    <row r="621" spans="1:21" x14ac:dyDescent="0.35">
      <c r="A621" s="215" t="s">
        <v>295</v>
      </c>
      <c r="B621" s="215" t="s">
        <v>714</v>
      </c>
      <c r="C621" s="215" t="s">
        <v>715</v>
      </c>
      <c r="D621" s="215" t="s">
        <v>420</v>
      </c>
      <c r="E621" s="215">
        <v>3</v>
      </c>
      <c r="F621" s="215" t="s">
        <v>74</v>
      </c>
      <c r="H621" s="114"/>
      <c r="K621" s="114"/>
      <c r="M621" s="115" t="s">
        <v>537</v>
      </c>
      <c r="N621" s="100" t="s">
        <v>588</v>
      </c>
      <c r="O621" s="115" t="s">
        <v>539</v>
      </c>
      <c r="P621" s="115">
        <v>400</v>
      </c>
      <c r="R621" s="115" t="s">
        <v>537</v>
      </c>
      <c r="S621" s="100" t="s">
        <v>103</v>
      </c>
      <c r="T621" s="115" t="s">
        <v>539</v>
      </c>
      <c r="U621" s="115">
        <v>800</v>
      </c>
    </row>
    <row r="622" spans="1:21" x14ac:dyDescent="0.35">
      <c r="A622" s="215" t="s">
        <v>295</v>
      </c>
      <c r="B622" s="215" t="s">
        <v>714</v>
      </c>
      <c r="C622" s="215" t="s">
        <v>715</v>
      </c>
      <c r="D622" s="215" t="s">
        <v>420</v>
      </c>
      <c r="E622" s="215">
        <v>4</v>
      </c>
      <c r="F622" s="215" t="s">
        <v>74</v>
      </c>
      <c r="H622" s="114"/>
      <c r="I622" s="114"/>
      <c r="J622" s="114"/>
      <c r="K622" s="114"/>
      <c r="M622" s="115" t="s">
        <v>90</v>
      </c>
      <c r="N622" s="115">
        <v>3200</v>
      </c>
      <c r="O622" s="115" t="s">
        <v>540</v>
      </c>
      <c r="P622" s="115">
        <v>12</v>
      </c>
      <c r="R622" s="115" t="s">
        <v>90</v>
      </c>
      <c r="S622" s="115">
        <v>1600</v>
      </c>
      <c r="T622" s="115" t="s">
        <v>540</v>
      </c>
      <c r="U622" s="115">
        <v>6</v>
      </c>
    </row>
    <row r="623" spans="1:21" x14ac:dyDescent="0.35">
      <c r="A623" s="215" t="s">
        <v>295</v>
      </c>
      <c r="B623" s="215" t="s">
        <v>714</v>
      </c>
      <c r="C623" s="215" t="s">
        <v>715</v>
      </c>
      <c r="D623" s="215" t="s">
        <v>420</v>
      </c>
      <c r="E623" s="215">
        <v>5</v>
      </c>
      <c r="F623" s="215" t="s">
        <v>74</v>
      </c>
      <c r="I623" s="114"/>
      <c r="M623" s="136" t="s">
        <v>300</v>
      </c>
      <c r="N623" s="137" t="s">
        <v>105</v>
      </c>
      <c r="O623" s="137" t="s">
        <v>302</v>
      </c>
      <c r="P623" s="138" t="s">
        <v>542</v>
      </c>
      <c r="R623" s="136" t="s">
        <v>300</v>
      </c>
      <c r="S623" s="137" t="s">
        <v>86</v>
      </c>
      <c r="T623" s="137" t="s">
        <v>302</v>
      </c>
      <c r="U623" s="138" t="s">
        <v>542</v>
      </c>
    </row>
    <row r="624" spans="1:21" x14ac:dyDescent="0.35">
      <c r="A624" s="215" t="s">
        <v>295</v>
      </c>
      <c r="B624" s="215" t="s">
        <v>714</v>
      </c>
      <c r="C624" s="215" t="s">
        <v>715</v>
      </c>
      <c r="D624" s="215" t="s">
        <v>420</v>
      </c>
      <c r="E624" s="215">
        <v>6</v>
      </c>
      <c r="F624" s="215" t="s">
        <v>74</v>
      </c>
      <c r="M624" s="62" t="s">
        <v>81</v>
      </c>
      <c r="N624" s="72">
        <v>112800.6</v>
      </c>
      <c r="O624" s="72">
        <f>N624*N627</f>
        <v>56400.3</v>
      </c>
      <c r="P624" s="155">
        <f>O624</f>
        <v>56400.3</v>
      </c>
      <c r="R624" s="50" t="s">
        <v>81</v>
      </c>
      <c r="S624" s="134">
        <v>2400</v>
      </c>
      <c r="T624" s="134">
        <f>S624*S627</f>
        <v>7200</v>
      </c>
      <c r="U624" s="153">
        <f>T624</f>
        <v>7200</v>
      </c>
    </row>
    <row r="625" spans="1:31" x14ac:dyDescent="0.35">
      <c r="A625" s="215" t="s">
        <v>295</v>
      </c>
      <c r="B625" s="215" t="s">
        <v>714</v>
      </c>
      <c r="C625" s="215" t="s">
        <v>715</v>
      </c>
      <c r="D625" s="215" t="s">
        <v>420</v>
      </c>
      <c r="E625" s="215">
        <v>7</v>
      </c>
      <c r="F625" s="215" t="s">
        <v>74</v>
      </c>
      <c r="M625" s="50" t="s">
        <v>88</v>
      </c>
      <c r="N625" s="134">
        <v>300</v>
      </c>
      <c r="O625" s="134">
        <f>N625*N627</f>
        <v>150</v>
      </c>
      <c r="P625" s="149">
        <f>O625</f>
        <v>150</v>
      </c>
      <c r="R625" s="47" t="s">
        <v>88</v>
      </c>
      <c r="S625" s="179">
        <v>500</v>
      </c>
      <c r="T625" s="179">
        <f>S625*S627</f>
        <v>1500</v>
      </c>
      <c r="U625" s="180">
        <f>T625</f>
        <v>1500</v>
      </c>
      <c r="W625" s="114"/>
      <c r="Z625" s="114"/>
      <c r="AB625" s="114"/>
      <c r="AE625" s="114"/>
    </row>
    <row r="626" spans="1:31" x14ac:dyDescent="0.35">
      <c r="A626" s="215" t="s">
        <v>295</v>
      </c>
      <c r="B626" s="215" t="s">
        <v>714</v>
      </c>
      <c r="C626" s="215" t="s">
        <v>715</v>
      </c>
      <c r="D626" s="215" t="s">
        <v>420</v>
      </c>
      <c r="E626" s="215">
        <v>8</v>
      </c>
      <c r="F626" s="215" t="s">
        <v>74</v>
      </c>
      <c r="M626" s="62" t="s">
        <v>89</v>
      </c>
      <c r="N626" s="72">
        <v>0.2</v>
      </c>
      <c r="O626" s="72">
        <f>IF(O627="1.25m",(N626*N627)-(SUM(QuadCoreMass,CS125Mass)*N627),N626*N627)</f>
        <v>0.1</v>
      </c>
      <c r="P626" s="150">
        <f>O626</f>
        <v>0.1</v>
      </c>
      <c r="R626" s="62" t="s">
        <v>89</v>
      </c>
      <c r="S626" s="72">
        <v>7.6E-3</v>
      </c>
      <c r="T626" s="72">
        <f>S626*S627</f>
        <v>2.2800000000000001E-2</v>
      </c>
      <c r="U626" s="159">
        <f>ROUNDUP(T626,3)</f>
        <v>2.3E-2</v>
      </c>
    </row>
    <row r="627" spans="1:31" x14ac:dyDescent="0.35">
      <c r="A627" s="215" t="s">
        <v>295</v>
      </c>
      <c r="B627" s="215" t="s">
        <v>714</v>
      </c>
      <c r="C627" s="215" t="s">
        <v>715</v>
      </c>
      <c r="D627" s="215" t="s">
        <v>420</v>
      </c>
      <c r="E627" s="215">
        <v>9</v>
      </c>
      <c r="F627" s="215" t="s">
        <v>74</v>
      </c>
      <c r="H627" s="114"/>
      <c r="I627" s="114"/>
      <c r="J627" s="114"/>
      <c r="K627" s="114"/>
      <c r="M627" s="230" t="s">
        <v>303</v>
      </c>
      <c r="N627" s="135">
        <v>0.5</v>
      </c>
      <c r="O627" s="114"/>
      <c r="P627" s="134"/>
      <c r="R627" s="134" t="s">
        <v>303</v>
      </c>
      <c r="S627" s="135">
        <v>3</v>
      </c>
      <c r="T627" s="114"/>
      <c r="U627" s="134"/>
      <c r="W627" s="114"/>
      <c r="X627" s="114"/>
      <c r="Y627" s="114"/>
      <c r="Z627" s="114"/>
      <c r="AB627" s="114"/>
      <c r="AC627" s="114"/>
      <c r="AD627" s="114"/>
      <c r="AE627" s="114"/>
    </row>
    <row r="628" spans="1:31" s="124" customFormat="1" ht="15" collapsed="1" thickBot="1" x14ac:dyDescent="0.4">
      <c r="A628" s="216" t="s">
        <v>295</v>
      </c>
      <c r="B628" s="216" t="s">
        <v>714</v>
      </c>
      <c r="C628" s="216" t="s">
        <v>715</v>
      </c>
      <c r="D628" s="216" t="s">
        <v>420</v>
      </c>
      <c r="E628" s="216">
        <v>10</v>
      </c>
      <c r="F628" s="216" t="s">
        <v>74</v>
      </c>
    </row>
    <row r="629" spans="1:31" s="16" customFormat="1" ht="18.5" x14ac:dyDescent="0.45">
      <c r="A629" s="215" t="s">
        <v>295</v>
      </c>
      <c r="B629" s="215" t="s">
        <v>717</v>
      </c>
      <c r="C629" s="215" t="s">
        <v>713</v>
      </c>
      <c r="D629" s="215" t="s">
        <v>420</v>
      </c>
      <c r="E629" s="215">
        <v>1</v>
      </c>
      <c r="F629" s="215" t="s">
        <v>74</v>
      </c>
      <c r="H629" s="189"/>
      <c r="I629" s="189"/>
      <c r="J629" s="189"/>
      <c r="K629" s="189"/>
      <c r="M629" s="116" t="s">
        <v>335</v>
      </c>
      <c r="N629" s="116"/>
      <c r="O629" s="116"/>
      <c r="P629" s="116"/>
      <c r="R629" s="116" t="s">
        <v>335</v>
      </c>
      <c r="S629" s="146"/>
      <c r="T629" s="146"/>
      <c r="U629" s="116"/>
      <c r="W629" s="189"/>
      <c r="X629" s="189"/>
      <c r="Y629" s="189"/>
      <c r="Z629" s="189"/>
      <c r="AB629" s="116" t="s">
        <v>337</v>
      </c>
      <c r="AC629" s="116"/>
      <c r="AD629" s="116"/>
      <c r="AE629" s="116"/>
    </row>
    <row r="630" spans="1:31" x14ac:dyDescent="0.35">
      <c r="A630" s="215" t="s">
        <v>295</v>
      </c>
      <c r="B630" s="215" t="s">
        <v>717</v>
      </c>
      <c r="C630" s="215" t="s">
        <v>713</v>
      </c>
      <c r="D630" s="215" t="s">
        <v>420</v>
      </c>
      <c r="E630" s="215">
        <v>2</v>
      </c>
      <c r="F630" s="215" t="s">
        <v>74</v>
      </c>
      <c r="H630" s="114"/>
      <c r="I630" s="114"/>
      <c r="J630" s="114"/>
      <c r="K630" s="114"/>
      <c r="M630" s="115" t="s">
        <v>535</v>
      </c>
      <c r="N630" s="115" t="s">
        <v>334</v>
      </c>
      <c r="O630" s="115"/>
      <c r="P630" s="115"/>
      <c r="R630" s="115" t="s">
        <v>535</v>
      </c>
      <c r="S630" s="115" t="s">
        <v>710</v>
      </c>
      <c r="T630" s="115"/>
      <c r="U630" s="115"/>
      <c r="W630" s="114"/>
      <c r="X630" s="114"/>
      <c r="Y630" s="114"/>
      <c r="Z630" s="114"/>
      <c r="AB630" s="115" t="s">
        <v>535</v>
      </c>
      <c r="AC630" s="115" t="s">
        <v>336</v>
      </c>
      <c r="AD630" s="115"/>
      <c r="AE630" s="115"/>
    </row>
    <row r="631" spans="1:31" x14ac:dyDescent="0.35">
      <c r="A631" s="215" t="s">
        <v>295</v>
      </c>
      <c r="B631" s="215" t="s">
        <v>717</v>
      </c>
      <c r="C631" s="215" t="s">
        <v>713</v>
      </c>
      <c r="D631" s="215" t="s">
        <v>420</v>
      </c>
      <c r="E631" s="215">
        <v>3</v>
      </c>
      <c r="F631" s="215" t="s">
        <v>74</v>
      </c>
      <c r="I631" s="114"/>
      <c r="M631" s="115" t="s">
        <v>537</v>
      </c>
      <c r="N631" s="115" t="s">
        <v>588</v>
      </c>
      <c r="O631" s="115" t="s">
        <v>539</v>
      </c>
      <c r="P631" s="100">
        <v>400</v>
      </c>
      <c r="R631" s="115" t="s">
        <v>537</v>
      </c>
      <c r="S631" s="115" t="s">
        <v>103</v>
      </c>
      <c r="T631" s="115" t="s">
        <v>539</v>
      </c>
      <c r="U631" s="100">
        <v>600</v>
      </c>
      <c r="X631" s="114"/>
      <c r="AB631" s="115" t="s">
        <v>537</v>
      </c>
      <c r="AC631" s="115" t="s">
        <v>588</v>
      </c>
      <c r="AD631" s="115" t="s">
        <v>539</v>
      </c>
      <c r="AE631" s="100">
        <v>3000</v>
      </c>
    </row>
    <row r="632" spans="1:31" x14ac:dyDescent="0.35">
      <c r="A632" s="215" t="s">
        <v>295</v>
      </c>
      <c r="B632" s="215" t="s">
        <v>717</v>
      </c>
      <c r="C632" s="215" t="s">
        <v>713</v>
      </c>
      <c r="D632" s="215" t="s">
        <v>420</v>
      </c>
      <c r="E632" s="215">
        <v>4</v>
      </c>
      <c r="F632" s="215" t="s">
        <v>74</v>
      </c>
      <c r="H632" s="114"/>
      <c r="K632" s="114"/>
      <c r="M632" s="115" t="s">
        <v>90</v>
      </c>
      <c r="N632" s="100">
        <v>3200</v>
      </c>
      <c r="O632" s="115" t="s">
        <v>540</v>
      </c>
      <c r="P632" s="115">
        <v>12</v>
      </c>
      <c r="R632" s="115" t="s">
        <v>90</v>
      </c>
      <c r="S632" s="100">
        <v>1600</v>
      </c>
      <c r="T632" s="115" t="s">
        <v>540</v>
      </c>
      <c r="U632" s="115">
        <v>6</v>
      </c>
      <c r="W632" s="114"/>
      <c r="Z632" s="114"/>
      <c r="AB632" s="115" t="s">
        <v>90</v>
      </c>
      <c r="AC632" s="100">
        <v>2000</v>
      </c>
      <c r="AD632" s="115" t="s">
        <v>540</v>
      </c>
      <c r="AE632" s="115">
        <v>7</v>
      </c>
    </row>
    <row r="633" spans="1:31" x14ac:dyDescent="0.35">
      <c r="A633" s="215" t="s">
        <v>295</v>
      </c>
      <c r="B633" s="215" t="s">
        <v>717</v>
      </c>
      <c r="C633" s="215" t="s">
        <v>713</v>
      </c>
      <c r="D633" s="215" t="s">
        <v>420</v>
      </c>
      <c r="E633" s="215">
        <v>5</v>
      </c>
      <c r="F633" s="215" t="s">
        <v>74</v>
      </c>
      <c r="M633" s="136" t="s">
        <v>300</v>
      </c>
      <c r="N633" s="137" t="s">
        <v>105</v>
      </c>
      <c r="O633" s="137" t="s">
        <v>302</v>
      </c>
      <c r="P633" s="138" t="s">
        <v>542</v>
      </c>
      <c r="R633" s="136" t="s">
        <v>300</v>
      </c>
      <c r="S633" s="137" t="s">
        <v>86</v>
      </c>
      <c r="T633" s="137" t="s">
        <v>302</v>
      </c>
      <c r="U633" s="138" t="s">
        <v>542</v>
      </c>
      <c r="AB633" s="136" t="s">
        <v>300</v>
      </c>
      <c r="AC633" s="137" t="s">
        <v>329</v>
      </c>
      <c r="AD633" s="137" t="s">
        <v>302</v>
      </c>
      <c r="AE633" s="138" t="s">
        <v>542</v>
      </c>
    </row>
    <row r="634" spans="1:31" ht="15" customHeight="1" x14ac:dyDescent="0.35">
      <c r="A634" s="215" t="s">
        <v>295</v>
      </c>
      <c r="B634" s="215" t="s">
        <v>717</v>
      </c>
      <c r="C634" s="215" t="s">
        <v>713</v>
      </c>
      <c r="D634" s="215" t="s">
        <v>420</v>
      </c>
      <c r="E634" s="215">
        <v>6</v>
      </c>
      <c r="F634" s="215" t="s">
        <v>74</v>
      </c>
      <c r="M634" s="62" t="s">
        <v>278</v>
      </c>
      <c r="N634" s="72">
        <v>240</v>
      </c>
      <c r="O634" s="72">
        <f>N634*N637</f>
        <v>120</v>
      </c>
      <c r="P634" s="155">
        <f>O634</f>
        <v>120</v>
      </c>
      <c r="R634" s="50" t="s">
        <v>278</v>
      </c>
      <c r="S634" s="134">
        <v>-220</v>
      </c>
      <c r="T634" s="134">
        <f>S634*S637</f>
        <v>-660</v>
      </c>
      <c r="U634" s="153">
        <f>T634</f>
        <v>-660</v>
      </c>
      <c r="W634" s="114"/>
      <c r="X634" s="114"/>
      <c r="Y634" s="114"/>
      <c r="Z634" s="114"/>
      <c r="AB634" s="62" t="s">
        <v>156</v>
      </c>
      <c r="AC634" s="72">
        <v>500</v>
      </c>
      <c r="AD634" s="72">
        <f>AC634*AC637</f>
        <v>125</v>
      </c>
      <c r="AE634" s="155">
        <f>AD634</f>
        <v>125</v>
      </c>
    </row>
    <row r="635" spans="1:31" x14ac:dyDescent="0.35">
      <c r="A635" s="215" t="s">
        <v>295</v>
      </c>
      <c r="B635" s="215" t="s">
        <v>717</v>
      </c>
      <c r="C635" s="215" t="s">
        <v>713</v>
      </c>
      <c r="D635" s="215" t="s">
        <v>420</v>
      </c>
      <c r="E635" s="215">
        <v>7</v>
      </c>
      <c r="F635" s="215" t="s">
        <v>74</v>
      </c>
      <c r="M635" s="50" t="s">
        <v>88</v>
      </c>
      <c r="N635" s="134">
        <v>300</v>
      </c>
      <c r="O635" s="134">
        <f>N635*N637</f>
        <v>150</v>
      </c>
      <c r="P635" s="149">
        <f>O635</f>
        <v>150</v>
      </c>
      <c r="R635" s="47" t="s">
        <v>88</v>
      </c>
      <c r="S635" s="179">
        <v>250</v>
      </c>
      <c r="T635" s="179">
        <f>S635*S637</f>
        <v>750</v>
      </c>
      <c r="U635" s="180">
        <f>T635</f>
        <v>750</v>
      </c>
      <c r="W635" s="114"/>
      <c r="X635" s="114"/>
      <c r="Y635" s="114"/>
      <c r="Z635" s="114"/>
      <c r="AB635" s="50" t="s">
        <v>88</v>
      </c>
      <c r="AC635" s="134">
        <v>500</v>
      </c>
      <c r="AD635" s="134">
        <f>AC635*AC637</f>
        <v>125</v>
      </c>
      <c r="AE635" s="149">
        <f>AD635</f>
        <v>125</v>
      </c>
    </row>
    <row r="636" spans="1:31" x14ac:dyDescent="0.35">
      <c r="A636" s="215" t="s">
        <v>295</v>
      </c>
      <c r="B636" s="215" t="s">
        <v>717</v>
      </c>
      <c r="C636" s="215" t="s">
        <v>713</v>
      </c>
      <c r="D636" s="215" t="s">
        <v>420</v>
      </c>
      <c r="E636" s="215">
        <v>8</v>
      </c>
      <c r="F636" s="215" t="s">
        <v>74</v>
      </c>
      <c r="M636" s="62" t="s">
        <v>89</v>
      </c>
      <c r="N636" s="72">
        <v>0.2</v>
      </c>
      <c r="O636" s="72">
        <f>IF(O637="1.25m",(N636*N637)-(SUM(QuadCoreMass,CS125Mass)*N637),N636*N637)</f>
        <v>0.1</v>
      </c>
      <c r="P636" s="150">
        <f>O636</f>
        <v>0.1</v>
      </c>
      <c r="R636" s="62" t="s">
        <v>89</v>
      </c>
      <c r="S636" s="72">
        <v>2.2499999999999999E-4</v>
      </c>
      <c r="T636" s="72">
        <f>S636*S637</f>
        <v>6.7500000000000004E-4</v>
      </c>
      <c r="U636" s="159">
        <f>ROUNDUP(T636,3)</f>
        <v>1E-3</v>
      </c>
      <c r="W636" s="114"/>
      <c r="X636" s="114"/>
      <c r="Y636" s="114"/>
      <c r="Z636" s="114"/>
      <c r="AB636" s="62" t="s">
        <v>89</v>
      </c>
      <c r="AC636" s="72">
        <v>0.1</v>
      </c>
      <c r="AD636" s="72">
        <f>AC636*AC637</f>
        <v>2.5000000000000001E-2</v>
      </c>
      <c r="AE636" s="150">
        <f>AD636</f>
        <v>2.5000000000000001E-2</v>
      </c>
    </row>
    <row r="637" spans="1:31" x14ac:dyDescent="0.35">
      <c r="A637" s="215" t="s">
        <v>295</v>
      </c>
      <c r="B637" s="215" t="s">
        <v>717</v>
      </c>
      <c r="C637" s="215" t="s">
        <v>713</v>
      </c>
      <c r="D637" s="215" t="s">
        <v>420</v>
      </c>
      <c r="E637" s="215">
        <v>9</v>
      </c>
      <c r="F637" s="215" t="s">
        <v>74</v>
      </c>
      <c r="M637" s="230" t="s">
        <v>303</v>
      </c>
      <c r="N637" s="135">
        <v>0.5</v>
      </c>
      <c r="O637" s="114"/>
      <c r="P637" s="134"/>
      <c r="R637" s="134" t="s">
        <v>303</v>
      </c>
      <c r="S637" s="135">
        <v>3</v>
      </c>
      <c r="U637" s="134"/>
      <c r="W637" s="114"/>
      <c r="Z637" s="114"/>
      <c r="AB637" s="134" t="s">
        <v>303</v>
      </c>
      <c r="AC637" s="135">
        <v>0.25</v>
      </c>
      <c r="AE637" s="134"/>
    </row>
    <row r="638" spans="1:31" s="124" customFormat="1" ht="15" thickBot="1" x14ac:dyDescent="0.4">
      <c r="A638" s="216" t="s">
        <v>295</v>
      </c>
      <c r="B638" s="216" t="s">
        <v>717</v>
      </c>
      <c r="C638" s="216" t="s">
        <v>713</v>
      </c>
      <c r="D638" s="216" t="s">
        <v>420</v>
      </c>
      <c r="E638" s="216">
        <v>10</v>
      </c>
      <c r="F638" s="216" t="s">
        <v>74</v>
      </c>
    </row>
    <row r="639" spans="1:31" s="16" customFormat="1" ht="18.5" x14ac:dyDescent="0.45">
      <c r="A639" s="215" t="s">
        <v>295</v>
      </c>
      <c r="B639" s="215" t="s">
        <v>718</v>
      </c>
      <c r="C639" s="215" t="s">
        <v>709</v>
      </c>
      <c r="D639" s="215" t="s">
        <v>420</v>
      </c>
      <c r="E639" s="215">
        <v>1</v>
      </c>
      <c r="F639" s="215" t="s">
        <v>74</v>
      </c>
      <c r="H639" s="189"/>
      <c r="K639" s="189"/>
      <c r="M639" s="116" t="s">
        <v>330</v>
      </c>
      <c r="N639" s="116"/>
      <c r="O639" s="146"/>
      <c r="P639" s="116"/>
      <c r="R639" s="116" t="s">
        <v>330</v>
      </c>
      <c r="S639" s="116"/>
      <c r="T639" s="146"/>
      <c r="U639" s="116"/>
      <c r="W639" s="116" t="s">
        <v>719</v>
      </c>
      <c r="X639" s="116"/>
      <c r="Y639" s="146"/>
      <c r="Z639" s="116"/>
      <c r="AB639" s="116" t="s">
        <v>332</v>
      </c>
      <c r="AC639" s="116"/>
      <c r="AD639" s="146"/>
      <c r="AE639" s="116"/>
    </row>
    <row r="640" spans="1:31" x14ac:dyDescent="0.35">
      <c r="A640" s="215" t="s">
        <v>295</v>
      </c>
      <c r="B640" s="215" t="s">
        <v>718</v>
      </c>
      <c r="C640" s="215" t="s">
        <v>709</v>
      </c>
      <c r="D640" s="215" t="s">
        <v>420</v>
      </c>
      <c r="E640" s="215">
        <v>2</v>
      </c>
      <c r="F640" s="215" t="s">
        <v>74</v>
      </c>
      <c r="M640" s="100" t="s">
        <v>535</v>
      </c>
      <c r="N640" s="100" t="s">
        <v>331</v>
      </c>
      <c r="O640" s="100"/>
      <c r="P640" s="100"/>
      <c r="R640" s="100" t="s">
        <v>535</v>
      </c>
      <c r="S640" s="100" t="s">
        <v>710</v>
      </c>
      <c r="T640" s="100"/>
      <c r="U640" s="100"/>
      <c r="W640" s="100" t="s">
        <v>535</v>
      </c>
      <c r="X640" s="100" t="s">
        <v>325</v>
      </c>
      <c r="Y640" s="100"/>
      <c r="Z640" s="100"/>
      <c r="AB640" s="100" t="s">
        <v>535</v>
      </c>
      <c r="AC640" s="100" t="s">
        <v>326</v>
      </c>
      <c r="AD640" s="100"/>
      <c r="AE640" s="100"/>
    </row>
    <row r="641" spans="1:31" x14ac:dyDescent="0.35">
      <c r="A641" s="215" t="s">
        <v>295</v>
      </c>
      <c r="B641" s="215" t="s">
        <v>718</v>
      </c>
      <c r="C641" s="215" t="s">
        <v>709</v>
      </c>
      <c r="D641" s="215" t="s">
        <v>420</v>
      </c>
      <c r="E641" s="215">
        <v>3</v>
      </c>
      <c r="F641" s="215" t="s">
        <v>74</v>
      </c>
      <c r="H641" s="114"/>
      <c r="I641" s="114"/>
      <c r="J641" s="114"/>
      <c r="K641" s="114"/>
      <c r="M641" s="115" t="s">
        <v>537</v>
      </c>
      <c r="N641" s="115" t="s">
        <v>103</v>
      </c>
      <c r="O641" s="115" t="s">
        <v>539</v>
      </c>
      <c r="P641" s="115">
        <v>400</v>
      </c>
      <c r="R641" s="115" t="s">
        <v>537</v>
      </c>
      <c r="S641" s="115" t="s">
        <v>103</v>
      </c>
      <c r="T641" s="115" t="s">
        <v>539</v>
      </c>
      <c r="U641" s="115">
        <v>600</v>
      </c>
      <c r="W641" s="115" t="s">
        <v>537</v>
      </c>
      <c r="X641" s="115" t="s">
        <v>711</v>
      </c>
      <c r="Y641" s="115" t="s">
        <v>539</v>
      </c>
      <c r="Z641" s="115">
        <v>1200</v>
      </c>
      <c r="AB641" s="115" t="s">
        <v>537</v>
      </c>
      <c r="AC641" s="115" t="s">
        <v>588</v>
      </c>
      <c r="AD641" s="115" t="s">
        <v>539</v>
      </c>
      <c r="AE641" s="115">
        <v>3000</v>
      </c>
    </row>
    <row r="642" spans="1:31" x14ac:dyDescent="0.35">
      <c r="A642" s="215" t="s">
        <v>295</v>
      </c>
      <c r="B642" s="215" t="s">
        <v>718</v>
      </c>
      <c r="C642" s="215" t="s">
        <v>709</v>
      </c>
      <c r="D642" s="215" t="s">
        <v>420</v>
      </c>
      <c r="E642" s="215">
        <v>4</v>
      </c>
      <c r="F642" s="215" t="s">
        <v>74</v>
      </c>
      <c r="H642" s="114"/>
      <c r="I642" s="114"/>
      <c r="J642" s="114"/>
      <c r="K642" s="114"/>
      <c r="M642" s="115" t="s">
        <v>90</v>
      </c>
      <c r="N642" s="115">
        <v>3200</v>
      </c>
      <c r="O642" s="115" t="s">
        <v>540</v>
      </c>
      <c r="P642" s="115">
        <v>12</v>
      </c>
      <c r="R642" s="115" t="s">
        <v>90</v>
      </c>
      <c r="S642" s="115">
        <v>1600</v>
      </c>
      <c r="T642" s="115" t="s">
        <v>540</v>
      </c>
      <c r="U642" s="115">
        <v>6</v>
      </c>
      <c r="W642" s="115" t="s">
        <v>90</v>
      </c>
      <c r="X642" s="115">
        <v>2000</v>
      </c>
      <c r="Y642" s="115" t="s">
        <v>540</v>
      </c>
      <c r="Z642" s="115">
        <v>6</v>
      </c>
      <c r="AB642" s="115" t="s">
        <v>90</v>
      </c>
      <c r="AC642" s="115">
        <v>2000</v>
      </c>
      <c r="AD642" s="115" t="s">
        <v>540</v>
      </c>
      <c r="AE642" s="115">
        <v>7</v>
      </c>
    </row>
    <row r="643" spans="1:31" ht="15" customHeight="1" x14ac:dyDescent="0.35">
      <c r="A643" s="215" t="s">
        <v>295</v>
      </c>
      <c r="B643" s="215" t="s">
        <v>718</v>
      </c>
      <c r="C643" s="215" t="s">
        <v>709</v>
      </c>
      <c r="D643" s="215" t="s">
        <v>420</v>
      </c>
      <c r="E643" s="215">
        <v>5</v>
      </c>
      <c r="F643" s="215" t="s">
        <v>74</v>
      </c>
      <c r="M643" s="136" t="s">
        <v>300</v>
      </c>
      <c r="N643" s="137" t="s">
        <v>105</v>
      </c>
      <c r="O643" s="137" t="s">
        <v>302</v>
      </c>
      <c r="P643" s="138" t="s">
        <v>542</v>
      </c>
      <c r="R643" s="136" t="s">
        <v>300</v>
      </c>
      <c r="S643" s="137" t="s">
        <v>86</v>
      </c>
      <c r="T643" s="137" t="s">
        <v>302</v>
      </c>
      <c r="U643" s="138" t="s">
        <v>542</v>
      </c>
      <c r="W643" s="136" t="s">
        <v>300</v>
      </c>
      <c r="X643" s="137" t="s">
        <v>279</v>
      </c>
      <c r="Y643" s="137" t="s">
        <v>302</v>
      </c>
      <c r="Z643" s="138" t="s">
        <v>542</v>
      </c>
      <c r="AB643" s="136" t="s">
        <v>300</v>
      </c>
      <c r="AC643" s="137" t="s">
        <v>329</v>
      </c>
      <c r="AD643" s="137" t="s">
        <v>302</v>
      </c>
      <c r="AE643" s="138" t="s">
        <v>542</v>
      </c>
    </row>
    <row r="644" spans="1:31" ht="15" customHeight="1" x14ac:dyDescent="0.35">
      <c r="A644" s="215" t="s">
        <v>295</v>
      </c>
      <c r="B644" s="215" t="s">
        <v>718</v>
      </c>
      <c r="C644" s="215" t="s">
        <v>709</v>
      </c>
      <c r="D644" s="215" t="s">
        <v>420</v>
      </c>
      <c r="E644" s="215">
        <v>6</v>
      </c>
      <c r="F644" s="215" t="s">
        <v>74</v>
      </c>
      <c r="M644" s="62" t="s">
        <v>74</v>
      </c>
      <c r="N644" s="72">
        <v>240</v>
      </c>
      <c r="O644" s="72">
        <f>N644*N647</f>
        <v>120</v>
      </c>
      <c r="P644" s="155">
        <f>O644</f>
        <v>120</v>
      </c>
      <c r="R644" s="50" t="s">
        <v>74</v>
      </c>
      <c r="S644" s="134">
        <v>-220</v>
      </c>
      <c r="T644" s="134">
        <f>S644*S647</f>
        <v>-660</v>
      </c>
      <c r="U644" s="153">
        <f>T644</f>
        <v>-660</v>
      </c>
      <c r="W644" s="50" t="s">
        <v>280</v>
      </c>
      <c r="X644" s="134">
        <v>450</v>
      </c>
      <c r="Y644" s="134">
        <v>112.5</v>
      </c>
      <c r="Z644" s="149">
        <v>112.5</v>
      </c>
      <c r="AB644" s="62" t="s">
        <v>226</v>
      </c>
      <c r="AC644" s="72">
        <v>500</v>
      </c>
      <c r="AD644" s="72">
        <f>AC644*AC647</f>
        <v>125</v>
      </c>
      <c r="AE644" s="155">
        <f>AD644</f>
        <v>125</v>
      </c>
    </row>
    <row r="645" spans="1:31" ht="15" customHeight="1" x14ac:dyDescent="0.35">
      <c r="A645" s="215" t="s">
        <v>295</v>
      </c>
      <c r="B645" s="215" t="s">
        <v>718</v>
      </c>
      <c r="C645" s="215" t="s">
        <v>709</v>
      </c>
      <c r="D645" s="215" t="s">
        <v>420</v>
      </c>
      <c r="E645" s="215">
        <v>7</v>
      </c>
      <c r="F645" s="215" t="s">
        <v>74</v>
      </c>
      <c r="M645" s="50" t="s">
        <v>88</v>
      </c>
      <c r="N645" s="134">
        <v>300</v>
      </c>
      <c r="O645" s="134">
        <f>N645*N647</f>
        <v>150</v>
      </c>
      <c r="P645" s="149">
        <f>O645</f>
        <v>150</v>
      </c>
      <c r="R645" s="47" t="s">
        <v>88</v>
      </c>
      <c r="S645" s="179">
        <v>250</v>
      </c>
      <c r="T645" s="179">
        <f>S645*S647</f>
        <v>750</v>
      </c>
      <c r="U645" s="180">
        <f>T645</f>
        <v>750</v>
      </c>
      <c r="W645" s="50" t="s">
        <v>88</v>
      </c>
      <c r="X645" s="134">
        <v>500</v>
      </c>
      <c r="Y645" s="134">
        <v>125</v>
      </c>
      <c r="Z645" s="153">
        <v>125</v>
      </c>
      <c r="AB645" s="50" t="s">
        <v>88</v>
      </c>
      <c r="AC645" s="134">
        <v>500</v>
      </c>
      <c r="AD645" s="134">
        <f>AC645*AC647</f>
        <v>125</v>
      </c>
      <c r="AE645" s="149">
        <f>AD645</f>
        <v>125</v>
      </c>
    </row>
    <row r="646" spans="1:31" x14ac:dyDescent="0.35">
      <c r="A646" s="215" t="s">
        <v>295</v>
      </c>
      <c r="B646" s="215" t="s">
        <v>718</v>
      </c>
      <c r="C646" s="215" t="s">
        <v>709</v>
      </c>
      <c r="D646" s="215" t="s">
        <v>420</v>
      </c>
      <c r="E646" s="215">
        <v>8</v>
      </c>
      <c r="F646" s="215" t="s">
        <v>74</v>
      </c>
      <c r="M646" s="62" t="s">
        <v>89</v>
      </c>
      <c r="N646" s="72">
        <v>0.2</v>
      </c>
      <c r="O646" s="72">
        <f>IF(O647="1.25m",(N646*N647)-(SUM(QuadCoreMass,CS125Mass)*N647),N646*N647)</f>
        <v>0.1</v>
      </c>
      <c r="P646" s="150">
        <f>O646</f>
        <v>0.1</v>
      </c>
      <c r="R646" s="62" t="s">
        <v>89</v>
      </c>
      <c r="S646" s="72">
        <v>2.2499999999999999E-4</v>
      </c>
      <c r="T646" s="72">
        <f>S646*S647</f>
        <v>6.7500000000000004E-4</v>
      </c>
      <c r="U646" s="159">
        <f>ROUNDUP(T646,3)</f>
        <v>1E-3</v>
      </c>
      <c r="W646" s="62" t="s">
        <v>89</v>
      </c>
      <c r="X646" s="72">
        <v>0.04</v>
      </c>
      <c r="Y646" s="72">
        <v>1.2499999999999994E-3</v>
      </c>
      <c r="Z646" s="150">
        <v>1.2499999999999994E-3</v>
      </c>
      <c r="AB646" s="62" t="s">
        <v>89</v>
      </c>
      <c r="AC646" s="72">
        <v>0.2</v>
      </c>
      <c r="AD646" s="72">
        <f>AC646*AC647</f>
        <v>0.05</v>
      </c>
      <c r="AE646" s="150">
        <f>AD646</f>
        <v>0.05</v>
      </c>
    </row>
    <row r="647" spans="1:31" x14ac:dyDescent="0.35">
      <c r="A647" s="215" t="s">
        <v>295</v>
      </c>
      <c r="B647" s="215" t="s">
        <v>718</v>
      </c>
      <c r="C647" s="215" t="s">
        <v>709</v>
      </c>
      <c r="D647" s="215" t="s">
        <v>420</v>
      </c>
      <c r="E647" s="215">
        <v>9</v>
      </c>
      <c r="F647" s="215" t="s">
        <v>74</v>
      </c>
      <c r="M647" s="230" t="s">
        <v>303</v>
      </c>
      <c r="N647" s="135">
        <v>0.5</v>
      </c>
      <c r="P647" s="134"/>
      <c r="R647" s="134" t="s">
        <v>303</v>
      </c>
      <c r="S647" s="135">
        <v>3</v>
      </c>
      <c r="U647" s="134"/>
      <c r="W647" t="s">
        <v>303</v>
      </c>
      <c r="X647" s="135">
        <v>0.25</v>
      </c>
      <c r="Z647"/>
      <c r="AB647" t="s">
        <v>303</v>
      </c>
      <c r="AC647" s="135">
        <v>0.25</v>
      </c>
      <c r="AE647"/>
    </row>
    <row r="648" spans="1:31" s="124" customFormat="1" ht="15" thickBot="1" x14ac:dyDescent="0.4">
      <c r="A648" s="216" t="s">
        <v>295</v>
      </c>
      <c r="B648" s="216" t="s">
        <v>718</v>
      </c>
      <c r="C648" s="216" t="s">
        <v>709</v>
      </c>
      <c r="D648" s="216" t="s">
        <v>420</v>
      </c>
      <c r="E648" s="216">
        <v>10</v>
      </c>
      <c r="F648" s="216" t="s">
        <v>74</v>
      </c>
    </row>
    <row r="649" spans="1:31" ht="18.75" hidden="1" customHeight="1" x14ac:dyDescent="0.45">
      <c r="A649" s="219" t="s">
        <v>295</v>
      </c>
      <c r="B649" s="219" t="s">
        <v>720</v>
      </c>
      <c r="C649" s="219" t="s">
        <v>721</v>
      </c>
      <c r="D649" s="219" t="s">
        <v>420</v>
      </c>
      <c r="E649" s="219">
        <v>1</v>
      </c>
      <c r="F649" s="219" t="s">
        <v>45</v>
      </c>
      <c r="G649" s="114"/>
      <c r="H649" s="116" t="s">
        <v>339</v>
      </c>
      <c r="I649" s="116"/>
      <c r="J649" s="116"/>
      <c r="K649" s="116"/>
      <c r="L649" s="114"/>
      <c r="M649" s="116" t="s">
        <v>339</v>
      </c>
      <c r="N649" s="116"/>
      <c r="O649" s="116"/>
      <c r="P649" s="116"/>
      <c r="Q649" s="114"/>
      <c r="R649" s="116" t="s">
        <v>339</v>
      </c>
      <c r="S649" s="116"/>
      <c r="T649" s="116"/>
      <c r="U649" s="116"/>
      <c r="V649" s="114"/>
      <c r="W649" s="116" t="s">
        <v>339</v>
      </c>
      <c r="X649" s="116"/>
      <c r="Y649" s="116"/>
      <c r="Z649" s="116"/>
      <c r="AA649" s="114"/>
      <c r="AB649" s="116" t="s">
        <v>339</v>
      </c>
      <c r="AC649" s="116"/>
      <c r="AD649" s="116"/>
      <c r="AE649" s="116"/>
    </row>
    <row r="650" spans="1:31" hidden="1" x14ac:dyDescent="0.35">
      <c r="A650" s="215" t="s">
        <v>295</v>
      </c>
      <c r="B650" s="215" t="s">
        <v>720</v>
      </c>
      <c r="C650" s="215" t="s">
        <v>721</v>
      </c>
      <c r="D650" s="215" t="s">
        <v>420</v>
      </c>
      <c r="E650" s="215">
        <v>2</v>
      </c>
      <c r="F650" s="215" t="s">
        <v>45</v>
      </c>
      <c r="H650" s="115" t="s">
        <v>535</v>
      </c>
      <c r="I650" s="115"/>
      <c r="J650" s="115"/>
      <c r="K650" s="115"/>
      <c r="M650" s="115" t="s">
        <v>535</v>
      </c>
      <c r="N650" s="115"/>
      <c r="O650" s="115"/>
      <c r="P650" s="115"/>
      <c r="R650" s="115" t="s">
        <v>535</v>
      </c>
      <c r="S650" s="115"/>
      <c r="T650" s="115"/>
      <c r="U650" s="115"/>
      <c r="W650" s="115" t="s">
        <v>535</v>
      </c>
      <c r="X650" s="115"/>
      <c r="Y650" s="115"/>
      <c r="Z650" s="115"/>
      <c r="AB650" s="115" t="s">
        <v>535</v>
      </c>
      <c r="AC650" s="115"/>
      <c r="AD650" s="115"/>
      <c r="AE650" s="115"/>
    </row>
    <row r="651" spans="1:31" hidden="1" x14ac:dyDescent="0.35">
      <c r="A651" s="215" t="s">
        <v>295</v>
      </c>
      <c r="B651" s="215" t="s">
        <v>720</v>
      </c>
      <c r="C651" s="215" t="s">
        <v>721</v>
      </c>
      <c r="D651" s="215" t="s">
        <v>420</v>
      </c>
      <c r="E651" s="215">
        <v>3</v>
      </c>
      <c r="F651" s="215" t="s">
        <v>45</v>
      </c>
      <c r="H651" s="115" t="s">
        <v>537</v>
      </c>
      <c r="I651" s="115" t="s">
        <v>588</v>
      </c>
      <c r="J651" s="115" t="s">
        <v>539</v>
      </c>
      <c r="K651" s="115">
        <v>1000</v>
      </c>
      <c r="M651" s="115" t="s">
        <v>537</v>
      </c>
      <c r="N651" s="115" t="s">
        <v>588</v>
      </c>
      <c r="O651" s="115" t="s">
        <v>539</v>
      </c>
      <c r="P651" s="115">
        <v>1000</v>
      </c>
      <c r="R651" s="115" t="s">
        <v>537</v>
      </c>
      <c r="S651" s="115" t="s">
        <v>588</v>
      </c>
      <c r="T651" s="115" t="s">
        <v>539</v>
      </c>
      <c r="U651" s="115">
        <v>1000</v>
      </c>
      <c r="W651" s="115" t="s">
        <v>537</v>
      </c>
      <c r="X651" s="115" t="s">
        <v>588</v>
      </c>
      <c r="Y651" s="115" t="s">
        <v>539</v>
      </c>
      <c r="Z651" s="115">
        <v>1000</v>
      </c>
      <c r="AB651" s="115" t="s">
        <v>537</v>
      </c>
      <c r="AC651" s="115" t="s">
        <v>588</v>
      </c>
      <c r="AD651" s="115" t="s">
        <v>539</v>
      </c>
      <c r="AE651" s="115">
        <v>1000</v>
      </c>
    </row>
    <row r="652" spans="1:31" hidden="1" x14ac:dyDescent="0.35">
      <c r="A652" s="215" t="s">
        <v>295</v>
      </c>
      <c r="B652" s="215" t="s">
        <v>720</v>
      </c>
      <c r="C652" s="215" t="s">
        <v>721</v>
      </c>
      <c r="D652" s="215" t="s">
        <v>420</v>
      </c>
      <c r="E652" s="215">
        <v>4</v>
      </c>
      <c r="F652" s="215" t="s">
        <v>45</v>
      </c>
      <c r="H652" s="115" t="s">
        <v>90</v>
      </c>
      <c r="I652" s="115"/>
      <c r="J652" s="115" t="s">
        <v>540</v>
      </c>
      <c r="K652" s="115"/>
      <c r="M652" s="115" t="s">
        <v>90</v>
      </c>
      <c r="N652" s="115"/>
      <c r="O652" s="115" t="s">
        <v>540</v>
      </c>
      <c r="P652" s="115"/>
      <c r="R652" s="115" t="s">
        <v>90</v>
      </c>
      <c r="S652" s="115">
        <v>1600</v>
      </c>
      <c r="T652" s="115" t="s">
        <v>540</v>
      </c>
      <c r="U652" s="115">
        <v>6</v>
      </c>
      <c r="W652" s="115" t="s">
        <v>90</v>
      </c>
      <c r="X652" s="115"/>
      <c r="Y652" s="115" t="s">
        <v>540</v>
      </c>
      <c r="Z652" s="115"/>
      <c r="AB652" s="115" t="s">
        <v>90</v>
      </c>
      <c r="AC652" s="115">
        <v>1700</v>
      </c>
      <c r="AD652" s="115" t="s">
        <v>540</v>
      </c>
      <c r="AE652" s="115">
        <v>45</v>
      </c>
    </row>
    <row r="653" spans="1:31" hidden="1" x14ac:dyDescent="0.35">
      <c r="A653" s="215" t="s">
        <v>295</v>
      </c>
      <c r="B653" s="215" t="s">
        <v>720</v>
      </c>
      <c r="C653" s="215" t="s">
        <v>721</v>
      </c>
      <c r="D653" s="215" t="s">
        <v>420</v>
      </c>
      <c r="E653" s="215">
        <v>5</v>
      </c>
      <c r="F653" s="215" t="s">
        <v>45</v>
      </c>
      <c r="H653" s="136" t="s">
        <v>300</v>
      </c>
      <c r="I653" s="137" t="s">
        <v>541</v>
      </c>
      <c r="J653" s="137" t="s">
        <v>302</v>
      </c>
      <c r="K653" s="138" t="s">
        <v>542</v>
      </c>
      <c r="M653" s="136" t="s">
        <v>300</v>
      </c>
      <c r="N653" s="137" t="s">
        <v>541</v>
      </c>
      <c r="O653" s="137" t="s">
        <v>302</v>
      </c>
      <c r="P653" s="138" t="s">
        <v>542</v>
      </c>
      <c r="R653" s="136" t="s">
        <v>300</v>
      </c>
      <c r="S653" s="137" t="s">
        <v>541</v>
      </c>
      <c r="T653" s="137" t="s">
        <v>302</v>
      </c>
      <c r="U653" s="138" t="s">
        <v>542</v>
      </c>
      <c r="W653" s="136" t="s">
        <v>300</v>
      </c>
      <c r="X653" s="137" t="s">
        <v>541</v>
      </c>
      <c r="Y653" s="137" t="s">
        <v>302</v>
      </c>
      <c r="Z653" s="138" t="s">
        <v>542</v>
      </c>
      <c r="AB653" s="136" t="s">
        <v>300</v>
      </c>
      <c r="AC653" s="137" t="s">
        <v>541</v>
      </c>
      <c r="AD653" s="137" t="s">
        <v>302</v>
      </c>
      <c r="AE653" s="138" t="s">
        <v>542</v>
      </c>
    </row>
    <row r="654" spans="1:31" hidden="1" x14ac:dyDescent="0.35">
      <c r="A654" s="215" t="s">
        <v>295</v>
      </c>
      <c r="B654" s="215" t="s">
        <v>720</v>
      </c>
      <c r="C654" s="215" t="s">
        <v>721</v>
      </c>
      <c r="D654" s="215" t="s">
        <v>420</v>
      </c>
      <c r="E654" s="215">
        <v>6</v>
      </c>
      <c r="F654" s="215" t="s">
        <v>45</v>
      </c>
      <c r="H654" s="50" t="s">
        <v>88</v>
      </c>
      <c r="I654" s="134"/>
      <c r="J654" s="134">
        <v>8</v>
      </c>
      <c r="K654" s="149">
        <f>J654</f>
        <v>8</v>
      </c>
      <c r="M654" s="50" t="s">
        <v>88</v>
      </c>
      <c r="N654" s="134"/>
      <c r="O654" s="134">
        <v>8</v>
      </c>
      <c r="P654" s="149">
        <f>O654</f>
        <v>8</v>
      </c>
      <c r="R654" s="50" t="s">
        <v>88</v>
      </c>
      <c r="S654" s="134"/>
      <c r="T654" s="134">
        <v>8</v>
      </c>
      <c r="U654" s="149">
        <v>8</v>
      </c>
      <c r="W654" s="50" t="s">
        <v>88</v>
      </c>
      <c r="X654" s="134"/>
      <c r="Y654" s="134">
        <v>8</v>
      </c>
      <c r="Z654" s="149">
        <f>Y654</f>
        <v>8</v>
      </c>
      <c r="AB654" s="50" t="s">
        <v>88</v>
      </c>
      <c r="AC654" s="134"/>
      <c r="AD654" s="134">
        <v>8</v>
      </c>
      <c r="AE654" s="149">
        <v>8</v>
      </c>
    </row>
    <row r="655" spans="1:31" hidden="1" x14ac:dyDescent="0.35">
      <c r="A655" s="215" t="s">
        <v>295</v>
      </c>
      <c r="B655" s="215" t="s">
        <v>720</v>
      </c>
      <c r="C655" s="215" t="s">
        <v>721</v>
      </c>
      <c r="D655" s="215" t="s">
        <v>420</v>
      </c>
      <c r="E655" s="215">
        <v>7</v>
      </c>
      <c r="F655" s="215" t="s">
        <v>45</v>
      </c>
      <c r="H655" s="62" t="s">
        <v>89</v>
      </c>
      <c r="I655" s="72"/>
      <c r="J655" s="72">
        <v>5.0000000000000001E-3</v>
      </c>
      <c r="K655" s="150">
        <f>J655</f>
        <v>5.0000000000000001E-3</v>
      </c>
      <c r="M655" s="62" t="s">
        <v>89</v>
      </c>
      <c r="N655" s="72"/>
      <c r="O655" s="72">
        <v>5.0000000000000001E-3</v>
      </c>
      <c r="P655" s="150">
        <f>O655</f>
        <v>5.0000000000000001E-3</v>
      </c>
      <c r="R655" s="62" t="s">
        <v>89</v>
      </c>
      <c r="S655" s="72"/>
      <c r="T655" s="72">
        <v>5.0000000000000001E-3</v>
      </c>
      <c r="U655" s="150">
        <v>1E-3</v>
      </c>
      <c r="W655" s="62" t="s">
        <v>89</v>
      </c>
      <c r="X655" s="72"/>
      <c r="Y655" s="72">
        <v>5.0000000000000001E-3</v>
      </c>
      <c r="Z655" s="150">
        <v>7.0000000000000001E-3</v>
      </c>
      <c r="AB655" s="62" t="s">
        <v>89</v>
      </c>
      <c r="AC655" s="72"/>
      <c r="AD655" s="72">
        <v>5.0000000000000001E-3</v>
      </c>
      <c r="AE655" s="150">
        <v>0.02</v>
      </c>
    </row>
    <row r="656" spans="1:31" hidden="1" x14ac:dyDescent="0.35">
      <c r="A656" s="215" t="s">
        <v>295</v>
      </c>
      <c r="B656" s="215" t="s">
        <v>720</v>
      </c>
      <c r="C656" s="215" t="s">
        <v>721</v>
      </c>
      <c r="D656" s="215" t="s">
        <v>420</v>
      </c>
      <c r="E656" s="215">
        <v>8</v>
      </c>
      <c r="F656" s="215" t="s">
        <v>45</v>
      </c>
      <c r="H656" s="230" t="s">
        <v>303</v>
      </c>
      <c r="I656" s="135">
        <v>1</v>
      </c>
      <c r="J656" s="114"/>
      <c r="K656" s="134"/>
      <c r="M656" s="33" t="s">
        <v>303</v>
      </c>
      <c r="N656" s="135">
        <v>1</v>
      </c>
      <c r="P656"/>
      <c r="R656" s="33" t="s">
        <v>303</v>
      </c>
      <c r="S656" s="135">
        <v>1</v>
      </c>
      <c r="U656"/>
      <c r="W656" s="33" t="s">
        <v>303</v>
      </c>
      <c r="X656" s="135">
        <v>1</v>
      </c>
      <c r="Z656"/>
      <c r="AB656" s="33" t="s">
        <v>303</v>
      </c>
      <c r="AC656" s="135">
        <v>2</v>
      </c>
      <c r="AE656"/>
    </row>
    <row r="657" spans="1:31" ht="15" hidden="1" customHeight="1" x14ac:dyDescent="0.35">
      <c r="A657" s="215" t="s">
        <v>295</v>
      </c>
      <c r="B657" s="215" t="s">
        <v>720</v>
      </c>
      <c r="C657" s="215" t="s">
        <v>721</v>
      </c>
      <c r="D657" s="215" t="s">
        <v>420</v>
      </c>
      <c r="E657" s="215">
        <v>9</v>
      </c>
      <c r="F657" s="215" t="s">
        <v>45</v>
      </c>
      <c r="I657" s="114"/>
      <c r="J657" s="114"/>
    </row>
    <row r="658" spans="1:31" s="16" customFormat="1" ht="18.5" hidden="1" x14ac:dyDescent="0.45">
      <c r="A658" s="215" t="s">
        <v>295</v>
      </c>
      <c r="B658" s="215" t="s">
        <v>720</v>
      </c>
      <c r="C658" s="215" t="s">
        <v>721</v>
      </c>
      <c r="D658" s="215" t="s">
        <v>420</v>
      </c>
      <c r="E658" s="215">
        <v>10</v>
      </c>
      <c r="F658" s="215" t="s">
        <v>45</v>
      </c>
      <c r="H658" s="204" t="s">
        <v>399</v>
      </c>
      <c r="I658" s="204" t="s">
        <v>480</v>
      </c>
      <c r="J658" s="204"/>
      <c r="K658" s="204"/>
      <c r="M658" s="204" t="s">
        <v>399</v>
      </c>
      <c r="N658" s="204" t="s">
        <v>480</v>
      </c>
      <c r="O658" s="204"/>
      <c r="P658" s="204"/>
      <c r="R658" s="204" t="s">
        <v>399</v>
      </c>
      <c r="S658" s="204" t="s">
        <v>480</v>
      </c>
      <c r="T658" s="204"/>
      <c r="U658" s="204"/>
      <c r="W658" s="204" t="s">
        <v>399</v>
      </c>
      <c r="X658" s="204" t="s">
        <v>480</v>
      </c>
      <c r="Y658" s="204"/>
      <c r="Z658" s="204"/>
      <c r="AB658" s="204" t="s">
        <v>399</v>
      </c>
      <c r="AC658" s="204" t="s">
        <v>480</v>
      </c>
      <c r="AD658" s="204"/>
      <c r="AE658" s="204"/>
    </row>
    <row r="659" spans="1:31" hidden="1" x14ac:dyDescent="0.35">
      <c r="A659" s="215" t="s">
        <v>295</v>
      </c>
      <c r="B659" s="215" t="s">
        <v>720</v>
      </c>
      <c r="C659" s="215" t="s">
        <v>721</v>
      </c>
      <c r="D659" s="215" t="s">
        <v>420</v>
      </c>
      <c r="E659" s="215">
        <v>11</v>
      </c>
      <c r="F659" s="215" t="s">
        <v>45</v>
      </c>
      <c r="H659" s="204" t="s">
        <v>535</v>
      </c>
      <c r="I659" s="204" t="s">
        <v>341</v>
      </c>
      <c r="M659" s="204" t="s">
        <v>535</v>
      </c>
      <c r="N659" s="204" t="s">
        <v>341</v>
      </c>
      <c r="R659" s="204" t="s">
        <v>535</v>
      </c>
      <c r="S659" s="204" t="s">
        <v>341</v>
      </c>
      <c r="W659" s="204" t="s">
        <v>535</v>
      </c>
      <c r="X659" s="204" t="s">
        <v>341</v>
      </c>
      <c r="AB659" s="204" t="s">
        <v>535</v>
      </c>
      <c r="AC659" s="204" t="s">
        <v>341</v>
      </c>
    </row>
    <row r="660" spans="1:31" hidden="1" x14ac:dyDescent="0.35">
      <c r="A660" s="215" t="s">
        <v>295</v>
      </c>
      <c r="B660" s="215" t="s">
        <v>720</v>
      </c>
      <c r="C660" s="215" t="s">
        <v>721</v>
      </c>
      <c r="D660" s="215" t="s">
        <v>420</v>
      </c>
      <c r="E660" s="215">
        <v>12</v>
      </c>
      <c r="F660" s="215" t="s">
        <v>45</v>
      </c>
      <c r="H660" s="139" t="s">
        <v>300</v>
      </c>
      <c r="I660" s="140" t="s">
        <v>541</v>
      </c>
      <c r="J660" s="140" t="s">
        <v>302</v>
      </c>
      <c r="K660" s="141" t="s">
        <v>542</v>
      </c>
      <c r="M660" s="139" t="s">
        <v>300</v>
      </c>
      <c r="N660" s="140" t="s">
        <v>541</v>
      </c>
      <c r="O660" s="140" t="s">
        <v>302</v>
      </c>
      <c r="P660" s="141" t="s">
        <v>542</v>
      </c>
      <c r="R660" s="139" t="s">
        <v>300</v>
      </c>
      <c r="S660" s="140" t="s">
        <v>541</v>
      </c>
      <c r="T660" s="140" t="s">
        <v>302</v>
      </c>
      <c r="U660" s="141" t="s">
        <v>542</v>
      </c>
      <c r="W660" s="139" t="s">
        <v>300</v>
      </c>
      <c r="X660" s="140" t="s">
        <v>541</v>
      </c>
      <c r="Y660" s="140" t="s">
        <v>302</v>
      </c>
      <c r="Z660" s="141" t="s">
        <v>542</v>
      </c>
      <c r="AB660" s="139" t="s">
        <v>300</v>
      </c>
      <c r="AC660" s="140" t="s">
        <v>541</v>
      </c>
      <c r="AD660" s="140" t="s">
        <v>302</v>
      </c>
      <c r="AE660" s="141" t="s">
        <v>542</v>
      </c>
    </row>
    <row r="661" spans="1:31" hidden="1" x14ac:dyDescent="0.35">
      <c r="A661" s="215" t="s">
        <v>295</v>
      </c>
      <c r="B661" s="215" t="s">
        <v>720</v>
      </c>
      <c r="C661" s="215" t="s">
        <v>721</v>
      </c>
      <c r="D661" s="215" t="s">
        <v>420</v>
      </c>
      <c r="E661" s="215">
        <v>13</v>
      </c>
      <c r="F661" s="215" t="s">
        <v>45</v>
      </c>
      <c r="H661" s="50" t="s">
        <v>285</v>
      </c>
      <c r="I661" s="134">
        <v>24.3</v>
      </c>
      <c r="J661" s="134">
        <f>I661*$I$665</f>
        <v>4</v>
      </c>
      <c r="K661" s="170">
        <f>J661</f>
        <v>4</v>
      </c>
      <c r="M661" s="50" t="s">
        <v>285</v>
      </c>
      <c r="N661" s="134">
        <v>24.3</v>
      </c>
      <c r="O661" s="134">
        <f>N661*$I$665</f>
        <v>4</v>
      </c>
      <c r="P661" s="170">
        <f>O661</f>
        <v>4</v>
      </c>
      <c r="R661" s="50" t="s">
        <v>285</v>
      </c>
      <c r="S661" s="134">
        <v>24.3</v>
      </c>
      <c r="T661" s="134">
        <f>S661*$I$665</f>
        <v>4</v>
      </c>
      <c r="U661" s="170">
        <f>T661</f>
        <v>4</v>
      </c>
      <c r="W661" s="50" t="s">
        <v>285</v>
      </c>
      <c r="X661" s="134">
        <v>24.3</v>
      </c>
      <c r="Y661" s="134">
        <f>X661*$I$665</f>
        <v>4</v>
      </c>
      <c r="Z661" s="170">
        <f>Y661</f>
        <v>4</v>
      </c>
      <c r="AB661" s="50" t="s">
        <v>285</v>
      </c>
      <c r="AC661" s="134">
        <v>24.3</v>
      </c>
      <c r="AD661" s="134">
        <f>AC661*$I$665</f>
        <v>4</v>
      </c>
      <c r="AE661" s="170">
        <f>AD661</f>
        <v>4</v>
      </c>
    </row>
    <row r="662" spans="1:31" hidden="1" x14ac:dyDescent="0.35">
      <c r="A662" s="215" t="s">
        <v>295</v>
      </c>
      <c r="B662" s="215" t="s">
        <v>720</v>
      </c>
      <c r="C662" s="215" t="s">
        <v>721</v>
      </c>
      <c r="D662" s="215" t="s">
        <v>420</v>
      </c>
      <c r="E662" s="215">
        <v>14</v>
      </c>
      <c r="F662" s="215" t="s">
        <v>45</v>
      </c>
      <c r="H662" s="62" t="s">
        <v>288</v>
      </c>
      <c r="I662" s="72">
        <v>29.7</v>
      </c>
      <c r="J662" s="72">
        <f>I662*$I$665</f>
        <v>4.8888888888888884</v>
      </c>
      <c r="K662" s="171">
        <f>K661*1.2</f>
        <v>4.8</v>
      </c>
      <c r="M662" s="62" t="s">
        <v>288</v>
      </c>
      <c r="N662" s="72">
        <v>29.7</v>
      </c>
      <c r="O662" s="72">
        <f>N662*$I$665</f>
        <v>4.8888888888888884</v>
      </c>
      <c r="P662" s="171">
        <f>P661*1.2</f>
        <v>4.8</v>
      </c>
      <c r="R662" s="62" t="s">
        <v>288</v>
      </c>
      <c r="S662" s="72">
        <v>29.7</v>
      </c>
      <c r="T662" s="72">
        <f>S662*$I$665</f>
        <v>4.8888888888888884</v>
      </c>
      <c r="U662" s="171">
        <f>U661*1.2</f>
        <v>4.8</v>
      </c>
      <c r="W662" s="62" t="s">
        <v>288</v>
      </c>
      <c r="X662" s="72">
        <v>29.7</v>
      </c>
      <c r="Y662" s="72">
        <f>X662*$I$665</f>
        <v>4.8888888888888884</v>
      </c>
      <c r="Z662" s="171">
        <f>Z661*1.2</f>
        <v>4.8</v>
      </c>
      <c r="AB662" s="62" t="s">
        <v>288</v>
      </c>
      <c r="AC662" s="72">
        <v>29.7</v>
      </c>
      <c r="AD662" s="72">
        <f>AC662*$I$665</f>
        <v>4.8888888888888884</v>
      </c>
      <c r="AE662" s="171">
        <f>AE661*1.2</f>
        <v>4.8</v>
      </c>
    </row>
    <row r="663" spans="1:31" hidden="1" x14ac:dyDescent="0.35">
      <c r="A663" s="215" t="s">
        <v>295</v>
      </c>
      <c r="B663" s="215" t="s">
        <v>720</v>
      </c>
      <c r="C663" s="215" t="s">
        <v>721</v>
      </c>
      <c r="D663" s="215" t="s">
        <v>420</v>
      </c>
      <c r="E663" s="215">
        <v>15</v>
      </c>
      <c r="F663" s="215" t="s">
        <v>45</v>
      </c>
      <c r="H663" s="50" t="s">
        <v>88</v>
      </c>
      <c r="I663" s="134">
        <v>50</v>
      </c>
      <c r="J663" s="134">
        <f>I663*$I$665</f>
        <v>8.2304526748971192</v>
      </c>
      <c r="K663" s="149">
        <f>J663-K654</f>
        <v>0.23045267489711918</v>
      </c>
      <c r="M663" s="50" t="s">
        <v>88</v>
      </c>
      <c r="N663" s="134">
        <v>50</v>
      </c>
      <c r="O663" s="134">
        <f>N663*$I$665</f>
        <v>8.2304526748971192</v>
      </c>
      <c r="P663" s="149">
        <f>O663-P654</f>
        <v>0.23045267489711918</v>
      </c>
      <c r="R663" s="50" t="s">
        <v>88</v>
      </c>
      <c r="S663" s="134">
        <v>50</v>
      </c>
      <c r="T663" s="134">
        <f>S663*$I$665</f>
        <v>8.2304526748971192</v>
      </c>
      <c r="U663" s="149">
        <f>T663-U654</f>
        <v>0.23045267489711918</v>
      </c>
      <c r="W663" s="50" t="s">
        <v>88</v>
      </c>
      <c r="X663" s="134">
        <v>50</v>
      </c>
      <c r="Y663" s="134">
        <f>X663*$I$665</f>
        <v>8.2304526748971192</v>
      </c>
      <c r="Z663" s="149">
        <f>Y663-Z654</f>
        <v>0.23045267489711918</v>
      </c>
      <c r="AB663" s="50" t="s">
        <v>88</v>
      </c>
      <c r="AC663" s="134">
        <v>50</v>
      </c>
      <c r="AD663" s="134">
        <f>AC663*$I$665</f>
        <v>8.2304526748971192</v>
      </c>
      <c r="AE663" s="149">
        <f>AD663-AE654</f>
        <v>0.23045267489711918</v>
      </c>
    </row>
    <row r="664" spans="1:31" hidden="1" x14ac:dyDescent="0.35">
      <c r="A664" s="215" t="s">
        <v>295</v>
      </c>
      <c r="B664" s="215" t="s">
        <v>720</v>
      </c>
      <c r="C664" s="215" t="s">
        <v>721</v>
      </c>
      <c r="D664" s="215" t="s">
        <v>420</v>
      </c>
      <c r="E664" s="215">
        <v>16</v>
      </c>
      <c r="F664" s="215" t="s">
        <v>45</v>
      </c>
      <c r="H664" s="62" t="s">
        <v>89</v>
      </c>
      <c r="I664" s="72">
        <v>0.30380000000000001</v>
      </c>
      <c r="J664" s="72">
        <f>IF(J665="1.25m",($I664*I665)-(SUM(QuadCoreMass,CS125Mass)*I665),$I664*I665)</f>
        <v>5.0008230452674898E-2</v>
      </c>
      <c r="K664" s="150">
        <f>J664-K655</f>
        <v>4.5008230452674901E-2</v>
      </c>
      <c r="M664" s="62" t="s">
        <v>89</v>
      </c>
      <c r="N664" s="72">
        <v>0.30380000000000001</v>
      </c>
      <c r="O664" s="72">
        <f>IF(O665="1.25m",($I664*N665)-(SUM(QuadCoreMass,CS125Mass)*N665),$I664*N665)</f>
        <v>5.0008230452674898E-2</v>
      </c>
      <c r="P664" s="150">
        <f>O664-P655</f>
        <v>4.5008230452674901E-2</v>
      </c>
      <c r="R664" s="62" t="s">
        <v>89</v>
      </c>
      <c r="S664" s="72">
        <v>0.30380000000000001</v>
      </c>
      <c r="T664" s="72">
        <f>IF(T665="1.25m",($I664*S665)-(SUM(QuadCoreMass,CS125Mass)*S665),$I664*S665)</f>
        <v>5.0008230452674898E-2</v>
      </c>
      <c r="U664" s="150">
        <f>T664-U655</f>
        <v>4.9008230452674897E-2</v>
      </c>
      <c r="W664" s="62" t="s">
        <v>89</v>
      </c>
      <c r="X664" s="72">
        <v>0.30380000000000001</v>
      </c>
      <c r="Y664" s="72">
        <f>IF(Y665="1.25m",($I664*X665)-(SUM(QuadCoreMass,CS125Mass)*X665),$I664*X665)</f>
        <v>5.0008230452674898E-2</v>
      </c>
      <c r="Z664" s="150">
        <f>Y664-Z655</f>
        <v>4.3008230452674899E-2</v>
      </c>
      <c r="AB664" s="62" t="s">
        <v>89</v>
      </c>
      <c r="AC664" s="72">
        <v>0.30380000000000001</v>
      </c>
      <c r="AD664" s="72">
        <f>IF(AD665="1.25m",($I664*AC665)-(SUM(QuadCoreMass,CS125Mass)*AC665),$I664*AC665)</f>
        <v>5.0008230452674898E-2</v>
      </c>
      <c r="AE664" s="150">
        <f>AD664-AE655</f>
        <v>3.0008230452674898E-2</v>
      </c>
    </row>
    <row r="665" spans="1:31" hidden="1" x14ac:dyDescent="0.35">
      <c r="A665" s="215" t="s">
        <v>295</v>
      </c>
      <c r="B665" s="215" t="s">
        <v>720</v>
      </c>
      <c r="C665" s="215" t="s">
        <v>721</v>
      </c>
      <c r="D665" s="215" t="s">
        <v>420</v>
      </c>
      <c r="E665" s="215">
        <v>17</v>
      </c>
      <c r="F665" s="215" t="s">
        <v>45</v>
      </c>
      <c r="H665" s="33" t="s">
        <v>303</v>
      </c>
      <c r="I665" s="135">
        <v>0.16460905349794239</v>
      </c>
      <c r="J665" s="114"/>
      <c r="K665"/>
      <c r="M665" s="33" t="s">
        <v>303</v>
      </c>
      <c r="N665" s="135">
        <v>0.16460905349794239</v>
      </c>
      <c r="P665"/>
      <c r="R665" s="33" t="s">
        <v>303</v>
      </c>
      <c r="S665" s="135">
        <v>0.16460905349794239</v>
      </c>
      <c r="U665"/>
      <c r="W665" s="33" t="s">
        <v>303</v>
      </c>
      <c r="X665" s="135">
        <v>0.16460905349794239</v>
      </c>
      <c r="Z665"/>
      <c r="AB665" s="33" t="s">
        <v>303</v>
      </c>
      <c r="AC665" s="135">
        <v>0.16460905349794239</v>
      </c>
      <c r="AE665"/>
    </row>
    <row r="666" spans="1:31" hidden="1" x14ac:dyDescent="0.35">
      <c r="A666" s="219" t="s">
        <v>295</v>
      </c>
      <c r="B666" s="219" t="s">
        <v>720</v>
      </c>
      <c r="C666" s="219" t="s">
        <v>721</v>
      </c>
      <c r="D666" s="219" t="s">
        <v>420</v>
      </c>
      <c r="E666" s="219">
        <v>18</v>
      </c>
      <c r="F666" s="219" t="s">
        <v>45</v>
      </c>
      <c r="G666" s="114"/>
      <c r="H666" s="114"/>
      <c r="I666" s="114"/>
      <c r="J666" s="114"/>
      <c r="K666" s="114"/>
      <c r="L666" s="114"/>
      <c r="M666" s="114"/>
      <c r="N666" s="114"/>
      <c r="O666" s="114"/>
      <c r="P666" s="114"/>
      <c r="Q666" s="114"/>
      <c r="R666" s="114"/>
      <c r="S666" s="114"/>
      <c r="T666" s="114"/>
      <c r="U666" s="114"/>
      <c r="V666" s="114"/>
      <c r="W666" s="114"/>
      <c r="X666" s="114"/>
      <c r="Y666" s="114"/>
      <c r="Z666" s="114"/>
      <c r="AA666" s="114"/>
      <c r="AB666" s="114"/>
      <c r="AC666" s="114"/>
      <c r="AD666" s="114"/>
      <c r="AE666" s="114"/>
    </row>
    <row r="667" spans="1:31" s="16" customFormat="1" ht="18.5" hidden="1" x14ac:dyDescent="0.45">
      <c r="A667" s="215" t="s">
        <v>295</v>
      </c>
      <c r="B667" s="215" t="s">
        <v>720</v>
      </c>
      <c r="C667" s="215" t="s">
        <v>721</v>
      </c>
      <c r="D667" s="215" t="s">
        <v>420</v>
      </c>
      <c r="E667" s="215">
        <v>19</v>
      </c>
      <c r="F667" s="215" t="s">
        <v>45</v>
      </c>
      <c r="H667" s="204" t="s">
        <v>399</v>
      </c>
      <c r="I667" s="204" t="s">
        <v>480</v>
      </c>
      <c r="J667" s="204"/>
      <c r="K667" s="204"/>
      <c r="M667" s="204" t="s">
        <v>399</v>
      </c>
      <c r="N667" s="204" t="s">
        <v>480</v>
      </c>
      <c r="O667" s="204"/>
      <c r="P667" s="204"/>
      <c r="R667" s="204" t="s">
        <v>399</v>
      </c>
      <c r="S667" s="204" t="s">
        <v>480</v>
      </c>
      <c r="T667" s="204"/>
      <c r="U667" s="204"/>
      <c r="W667" s="204" t="s">
        <v>399</v>
      </c>
      <c r="X667" s="204" t="s">
        <v>722</v>
      </c>
      <c r="Y667" s="204"/>
      <c r="Z667" s="204"/>
      <c r="AB667" s="204" t="s">
        <v>399</v>
      </c>
      <c r="AC667" s="204" t="s">
        <v>722</v>
      </c>
      <c r="AD667" s="204"/>
      <c r="AE667" s="204"/>
    </row>
    <row r="668" spans="1:31" hidden="1" x14ac:dyDescent="0.35">
      <c r="A668" s="215" t="s">
        <v>295</v>
      </c>
      <c r="B668" s="215" t="s">
        <v>720</v>
      </c>
      <c r="C668" s="215" t="s">
        <v>721</v>
      </c>
      <c r="D668" s="215" t="s">
        <v>420</v>
      </c>
      <c r="E668" s="215">
        <v>20</v>
      </c>
      <c r="F668" s="215" t="s">
        <v>45</v>
      </c>
      <c r="H668" s="114" t="s">
        <v>535</v>
      </c>
      <c r="I668" s="114" t="s">
        <v>343</v>
      </c>
      <c r="J668" s="114"/>
      <c r="K668" s="114"/>
      <c r="M668" s="114" t="s">
        <v>535</v>
      </c>
      <c r="N668" s="114" t="s">
        <v>343</v>
      </c>
      <c r="O668" s="114"/>
      <c r="P668" s="114"/>
      <c r="R668" s="114" t="s">
        <v>535</v>
      </c>
      <c r="S668" s="114" t="s">
        <v>343</v>
      </c>
      <c r="T668" s="114"/>
      <c r="U668" s="114"/>
      <c r="W668" s="114" t="s">
        <v>535</v>
      </c>
      <c r="X668" s="114" t="s">
        <v>343</v>
      </c>
      <c r="Y668" s="114"/>
      <c r="Z668" s="114"/>
      <c r="AB668" s="114" t="s">
        <v>535</v>
      </c>
      <c r="AC668" s="114" t="s">
        <v>343</v>
      </c>
      <c r="AD668" s="114"/>
      <c r="AE668" s="114"/>
    </row>
    <row r="669" spans="1:31" hidden="1" x14ac:dyDescent="0.35">
      <c r="A669" s="215" t="s">
        <v>295</v>
      </c>
      <c r="B669" s="215" t="s">
        <v>720</v>
      </c>
      <c r="C669" s="215" t="s">
        <v>721</v>
      </c>
      <c r="D669" s="215" t="s">
        <v>420</v>
      </c>
      <c r="E669" s="215">
        <v>21</v>
      </c>
      <c r="F669" s="215" t="s">
        <v>45</v>
      </c>
      <c r="H669" s="139" t="s">
        <v>300</v>
      </c>
      <c r="I669" s="140" t="s">
        <v>541</v>
      </c>
      <c r="J669" s="140" t="s">
        <v>302</v>
      </c>
      <c r="K669" s="141" t="s">
        <v>542</v>
      </c>
      <c r="M669" s="139" t="s">
        <v>300</v>
      </c>
      <c r="N669" s="140" t="s">
        <v>541</v>
      </c>
      <c r="O669" s="140" t="s">
        <v>302</v>
      </c>
      <c r="P669" s="141" t="s">
        <v>542</v>
      </c>
      <c r="R669" s="139" t="s">
        <v>300</v>
      </c>
      <c r="S669" s="140" t="s">
        <v>541</v>
      </c>
      <c r="T669" s="140" t="s">
        <v>302</v>
      </c>
      <c r="U669" s="141" t="s">
        <v>542</v>
      </c>
      <c r="W669" s="139" t="s">
        <v>300</v>
      </c>
      <c r="X669" s="140" t="s">
        <v>541</v>
      </c>
      <c r="Y669" s="140" t="s">
        <v>302</v>
      </c>
      <c r="Z669" s="141" t="s">
        <v>542</v>
      </c>
      <c r="AB669" s="139" t="s">
        <v>300</v>
      </c>
      <c r="AC669" s="140" t="s">
        <v>541</v>
      </c>
      <c r="AD669" s="140" t="s">
        <v>302</v>
      </c>
      <c r="AE669" s="141" t="s">
        <v>542</v>
      </c>
    </row>
    <row r="670" spans="1:31" hidden="1" x14ac:dyDescent="0.35">
      <c r="A670" s="215" t="s">
        <v>295</v>
      </c>
      <c r="B670" s="215" t="s">
        <v>720</v>
      </c>
      <c r="C670" s="215" t="s">
        <v>721</v>
      </c>
      <c r="D670" s="215" t="s">
        <v>420</v>
      </c>
      <c r="E670" s="215">
        <v>22</v>
      </c>
      <c r="F670" s="215" t="s">
        <v>45</v>
      </c>
      <c r="H670" s="62" t="s">
        <v>286</v>
      </c>
      <c r="I670" s="72">
        <v>7.5</v>
      </c>
      <c r="J670" s="72">
        <v>3.75</v>
      </c>
      <c r="K670" s="155">
        <f>J670</f>
        <v>3.75</v>
      </c>
      <c r="M670" s="62" t="s">
        <v>286</v>
      </c>
      <c r="N670" s="72">
        <v>7.5</v>
      </c>
      <c r="O670" s="72">
        <v>3.75</v>
      </c>
      <c r="P670" s="155">
        <f>O670</f>
        <v>3.75</v>
      </c>
      <c r="R670" s="62" t="s">
        <v>286</v>
      </c>
      <c r="S670" s="72">
        <v>7.5</v>
      </c>
      <c r="T670" s="72">
        <v>3.75</v>
      </c>
      <c r="U670" s="155">
        <f>T670</f>
        <v>3.75</v>
      </c>
      <c r="W670" s="62" t="s">
        <v>286</v>
      </c>
      <c r="X670" s="72">
        <v>7.5</v>
      </c>
      <c r="Y670" s="72">
        <v>3.75</v>
      </c>
      <c r="Z670" s="155">
        <f>Y670</f>
        <v>3.75</v>
      </c>
      <c r="AB670" s="62" t="s">
        <v>286</v>
      </c>
      <c r="AC670" s="72">
        <v>7.5</v>
      </c>
      <c r="AD670" s="72">
        <v>3.75</v>
      </c>
      <c r="AE670" s="155">
        <f>AD670</f>
        <v>3.75</v>
      </c>
    </row>
    <row r="671" spans="1:31" hidden="1" x14ac:dyDescent="0.35">
      <c r="A671" s="215" t="s">
        <v>295</v>
      </c>
      <c r="B671" s="215" t="s">
        <v>720</v>
      </c>
      <c r="C671" s="215" t="s">
        <v>721</v>
      </c>
      <c r="D671" s="215" t="s">
        <v>420</v>
      </c>
      <c r="E671" s="215">
        <v>23</v>
      </c>
      <c r="F671" s="215" t="s">
        <v>45</v>
      </c>
      <c r="H671" s="50" t="s">
        <v>88</v>
      </c>
      <c r="I671" s="134">
        <v>30</v>
      </c>
      <c r="J671" s="134">
        <f>I671*I673</f>
        <v>15</v>
      </c>
      <c r="K671" s="149">
        <f>J671-K654</f>
        <v>7</v>
      </c>
      <c r="M671" s="50" t="s">
        <v>88</v>
      </c>
      <c r="N671" s="134">
        <v>30</v>
      </c>
      <c r="O671" s="134">
        <f>N671*N673</f>
        <v>15</v>
      </c>
      <c r="P671" s="149">
        <f>O671-P654</f>
        <v>7</v>
      </c>
      <c r="R671" s="50" t="s">
        <v>88</v>
      </c>
      <c r="S671" s="134">
        <v>30</v>
      </c>
      <c r="T671" s="134">
        <f>S671*S673</f>
        <v>15</v>
      </c>
      <c r="U671" s="149">
        <f>T671-U654</f>
        <v>7</v>
      </c>
      <c r="W671" s="50" t="s">
        <v>88</v>
      </c>
      <c r="X671" s="134">
        <v>30</v>
      </c>
      <c r="Y671" s="134">
        <f>X671*X673</f>
        <v>15</v>
      </c>
      <c r="Z671" s="149">
        <f>Y671-Z654</f>
        <v>7</v>
      </c>
      <c r="AB671" s="50" t="s">
        <v>88</v>
      </c>
      <c r="AC671" s="134">
        <v>30</v>
      </c>
      <c r="AD671" s="134">
        <f>AC671*AC673</f>
        <v>15</v>
      </c>
      <c r="AE671" s="149">
        <f>AD671-AE654</f>
        <v>7</v>
      </c>
    </row>
    <row r="672" spans="1:31" hidden="1" x14ac:dyDescent="0.35">
      <c r="A672" s="215" t="s">
        <v>295</v>
      </c>
      <c r="B672" s="215" t="s">
        <v>720</v>
      </c>
      <c r="C672" s="215" t="s">
        <v>721</v>
      </c>
      <c r="D672" s="215" t="s">
        <v>420</v>
      </c>
      <c r="E672" s="215">
        <v>24</v>
      </c>
      <c r="F672" s="215" t="s">
        <v>45</v>
      </c>
      <c r="H672" s="62" t="s">
        <v>89</v>
      </c>
      <c r="I672" s="72">
        <v>0.04</v>
      </c>
      <c r="J672" s="72">
        <f>IF(J673="1.25m",($I672*I673)-(SUM(QuadCoreMass,CS125Mass)*I673),$I672*I673)</f>
        <v>0.02</v>
      </c>
      <c r="K672" s="150">
        <f>J672-K655</f>
        <v>1.4999999999999999E-2</v>
      </c>
      <c r="M672" s="62" t="s">
        <v>89</v>
      </c>
      <c r="N672" s="72">
        <v>0.04</v>
      </c>
      <c r="O672" s="72">
        <f>IF(O673="1.25m",($I672*N673)-(SUM(QuadCoreMass,CS125Mass)*N673),$I672*N673)</f>
        <v>0.02</v>
      </c>
      <c r="P672" s="150">
        <f>O672-P655</f>
        <v>1.4999999999999999E-2</v>
      </c>
      <c r="R672" s="62" t="s">
        <v>89</v>
      </c>
      <c r="S672" s="72">
        <v>0.04</v>
      </c>
      <c r="T672" s="72">
        <f>IF(T673="1.25m",($I672*S673)-(SUM(QuadCoreMass,CS125Mass)*S673),$I672*S673)</f>
        <v>0.02</v>
      </c>
      <c r="U672" s="150">
        <f>T672-U655</f>
        <v>1.9E-2</v>
      </c>
      <c r="W672" s="62" t="s">
        <v>89</v>
      </c>
      <c r="X672" s="72">
        <v>0.04</v>
      </c>
      <c r="Y672" s="72">
        <f>IF(Y673="1.25m",($I672*X673)-(SUM(QuadCoreMass,CS125Mass)*X673),$I672*X673)</f>
        <v>0.02</v>
      </c>
      <c r="Z672" s="150">
        <f>Y672-Z655</f>
        <v>1.3000000000000001E-2</v>
      </c>
      <c r="AB672" s="62" t="s">
        <v>89</v>
      </c>
      <c r="AC672" s="72">
        <v>0.04</v>
      </c>
      <c r="AD672" s="72">
        <f>IF(AD673="1.25m",($I672*AC673)-(SUM(QuadCoreMass,CS125Mass)*AC673),$I672*AC673)</f>
        <v>0.02</v>
      </c>
      <c r="AE672" s="150">
        <f>AD672-AE655</f>
        <v>0</v>
      </c>
    </row>
    <row r="673" spans="1:31" hidden="1" x14ac:dyDescent="0.35">
      <c r="A673" s="215" t="s">
        <v>295</v>
      </c>
      <c r="B673" s="215" t="s">
        <v>720</v>
      </c>
      <c r="C673" s="215" t="s">
        <v>721</v>
      </c>
      <c r="D673" s="215" t="s">
        <v>420</v>
      </c>
      <c r="E673" s="215">
        <v>25</v>
      </c>
      <c r="F673" s="215" t="s">
        <v>45</v>
      </c>
      <c r="H673" s="230" t="s">
        <v>303</v>
      </c>
      <c r="I673" s="135">
        <v>0.5</v>
      </c>
      <c r="J673" s="114"/>
      <c r="K673" s="134"/>
      <c r="M673" s="33" t="s">
        <v>303</v>
      </c>
      <c r="N673" s="135">
        <v>0.5</v>
      </c>
      <c r="P673"/>
      <c r="R673" s="33" t="s">
        <v>303</v>
      </c>
      <c r="S673" s="135">
        <v>0.5</v>
      </c>
      <c r="U673"/>
      <c r="W673" s="33" t="s">
        <v>303</v>
      </c>
      <c r="X673" s="135">
        <v>0.5</v>
      </c>
      <c r="Z673"/>
      <c r="AB673" s="33" t="s">
        <v>303</v>
      </c>
      <c r="AC673" s="135">
        <v>0.5</v>
      </c>
      <c r="AE673"/>
    </row>
    <row r="674" spans="1:31" hidden="1" x14ac:dyDescent="0.35">
      <c r="A674" s="215" t="s">
        <v>295</v>
      </c>
      <c r="B674" s="215" t="s">
        <v>720</v>
      </c>
      <c r="C674" s="215" t="s">
        <v>721</v>
      </c>
      <c r="D674" s="215" t="s">
        <v>420</v>
      </c>
      <c r="E674" s="215">
        <v>26</v>
      </c>
      <c r="F674" s="215" t="s">
        <v>45</v>
      </c>
      <c r="I674" s="114"/>
      <c r="J674" s="114"/>
    </row>
    <row r="675" spans="1:31" s="16" customFormat="1" ht="18.5" hidden="1" x14ac:dyDescent="0.45">
      <c r="A675" s="215" t="s">
        <v>295</v>
      </c>
      <c r="B675" s="215" t="s">
        <v>720</v>
      </c>
      <c r="C675" s="215" t="s">
        <v>721</v>
      </c>
      <c r="D675" s="215" t="s">
        <v>420</v>
      </c>
      <c r="E675" s="215">
        <v>27</v>
      </c>
      <c r="F675" s="215" t="s">
        <v>45</v>
      </c>
      <c r="H675" s="204" t="s">
        <v>399</v>
      </c>
      <c r="I675" s="204" t="s">
        <v>19</v>
      </c>
      <c r="J675" s="204"/>
      <c r="K675" s="204"/>
      <c r="M675" s="204" t="s">
        <v>399</v>
      </c>
      <c r="N675" s="204" t="s">
        <v>19</v>
      </c>
      <c r="O675" s="204"/>
      <c r="P675" s="204"/>
      <c r="R675" s="204" t="s">
        <v>399</v>
      </c>
      <c r="S675" s="204" t="s">
        <v>19</v>
      </c>
      <c r="T675" s="204"/>
      <c r="U675" s="204"/>
      <c r="W675" s="204" t="s">
        <v>399</v>
      </c>
      <c r="X675" s="204" t="s">
        <v>19</v>
      </c>
      <c r="Y675" s="204"/>
      <c r="Z675" s="204"/>
      <c r="AB675" s="204" t="s">
        <v>399</v>
      </c>
      <c r="AC675" s="204" t="s">
        <v>19</v>
      </c>
      <c r="AD675" s="204"/>
      <c r="AE675" s="204"/>
    </row>
    <row r="676" spans="1:31" hidden="1" x14ac:dyDescent="0.35">
      <c r="A676" s="215" t="s">
        <v>295</v>
      </c>
      <c r="B676" s="215" t="s">
        <v>720</v>
      </c>
      <c r="C676" s="215" t="s">
        <v>721</v>
      </c>
      <c r="D676" s="215" t="s">
        <v>420</v>
      </c>
      <c r="E676" s="215">
        <v>28</v>
      </c>
      <c r="F676" s="215" t="s">
        <v>45</v>
      </c>
      <c r="H676" s="114" t="s">
        <v>535</v>
      </c>
      <c r="I676" s="114" t="s">
        <v>345</v>
      </c>
      <c r="J676" s="114"/>
      <c r="K676" s="114"/>
      <c r="M676" s="114" t="s">
        <v>535</v>
      </c>
      <c r="N676" s="114" t="s">
        <v>345</v>
      </c>
      <c r="O676" s="114"/>
      <c r="P676" s="114"/>
      <c r="R676" s="204" t="s">
        <v>535</v>
      </c>
      <c r="S676" s="204" t="s">
        <v>723</v>
      </c>
      <c r="W676" s="114" t="s">
        <v>535</v>
      </c>
      <c r="X676" s="114" t="s">
        <v>345</v>
      </c>
      <c r="Y676" s="114"/>
      <c r="Z676" s="114"/>
      <c r="AB676" s="114" t="s">
        <v>535</v>
      </c>
      <c r="AC676" s="114" t="s">
        <v>345</v>
      </c>
      <c r="AD676" s="114"/>
      <c r="AE676" s="114"/>
    </row>
    <row r="677" spans="1:31" ht="15" hidden="1" customHeight="1" x14ac:dyDescent="0.35">
      <c r="A677" s="215" t="s">
        <v>295</v>
      </c>
      <c r="B677" s="215" t="s">
        <v>720</v>
      </c>
      <c r="C677" s="215" t="s">
        <v>721</v>
      </c>
      <c r="D677" s="215" t="s">
        <v>420</v>
      </c>
      <c r="E677" s="215">
        <v>29</v>
      </c>
      <c r="F677" s="215" t="s">
        <v>45</v>
      </c>
      <c r="H677" s="139" t="s">
        <v>300</v>
      </c>
      <c r="I677" s="140" t="s">
        <v>541</v>
      </c>
      <c r="J677" s="140" t="s">
        <v>302</v>
      </c>
      <c r="K677" s="141" t="s">
        <v>542</v>
      </c>
      <c r="M677" s="139" t="s">
        <v>300</v>
      </c>
      <c r="N677" s="140" t="s">
        <v>541</v>
      </c>
      <c r="O677" s="140" t="s">
        <v>302</v>
      </c>
      <c r="P677" s="141" t="s">
        <v>542</v>
      </c>
      <c r="R677" s="139" t="s">
        <v>300</v>
      </c>
      <c r="S677" s="140" t="s">
        <v>541</v>
      </c>
      <c r="T677" s="140" t="s">
        <v>302</v>
      </c>
      <c r="U677" s="141" t="s">
        <v>542</v>
      </c>
      <c r="W677" s="139" t="s">
        <v>300</v>
      </c>
      <c r="X677" s="140" t="s">
        <v>541</v>
      </c>
      <c r="Y677" s="140" t="s">
        <v>302</v>
      </c>
      <c r="Z677" s="141" t="s">
        <v>542</v>
      </c>
      <c r="AB677" s="139" t="s">
        <v>300</v>
      </c>
      <c r="AC677" s="140" t="s">
        <v>541</v>
      </c>
      <c r="AD677" s="140" t="s">
        <v>302</v>
      </c>
      <c r="AE677" s="141" t="s">
        <v>542</v>
      </c>
    </row>
    <row r="678" spans="1:31" ht="15" hidden="1" customHeight="1" x14ac:dyDescent="0.35">
      <c r="A678" s="215" t="s">
        <v>295</v>
      </c>
      <c r="B678" s="215" t="s">
        <v>720</v>
      </c>
      <c r="C678" s="215" t="s">
        <v>721</v>
      </c>
      <c r="D678" s="215" t="s">
        <v>420</v>
      </c>
      <c r="E678" s="215">
        <v>30</v>
      </c>
      <c r="F678" s="215" t="s">
        <v>45</v>
      </c>
      <c r="H678" s="62" t="s">
        <v>19</v>
      </c>
      <c r="I678" s="72">
        <v>3593.4</v>
      </c>
      <c r="J678" s="72">
        <f>I678*I681</f>
        <v>5000</v>
      </c>
      <c r="K678" s="155">
        <f>J678</f>
        <v>5000</v>
      </c>
      <c r="M678" s="62" t="s">
        <v>19</v>
      </c>
      <c r="N678" s="72">
        <v>3593.4</v>
      </c>
      <c r="O678" s="72">
        <f>N678*N681</f>
        <v>5000</v>
      </c>
      <c r="P678" s="155">
        <f>O678</f>
        <v>5000</v>
      </c>
      <c r="R678" s="50" t="s">
        <v>19</v>
      </c>
      <c r="S678" s="134">
        <v>5950</v>
      </c>
      <c r="T678" s="134">
        <f>S678*S681</f>
        <v>8925</v>
      </c>
      <c r="U678" s="153">
        <f>T678</f>
        <v>8925</v>
      </c>
      <c r="W678" s="62" t="s">
        <v>19</v>
      </c>
      <c r="X678" s="72">
        <v>3593.4</v>
      </c>
      <c r="Y678" s="72">
        <f>X678*X681</f>
        <v>5000</v>
      </c>
      <c r="Z678" s="155">
        <f>Y678</f>
        <v>5000</v>
      </c>
      <c r="AB678" s="62" t="s">
        <v>19</v>
      </c>
      <c r="AC678" s="72">
        <v>3593.4</v>
      </c>
      <c r="AD678" s="72">
        <f>AC678*AC681</f>
        <v>5000</v>
      </c>
      <c r="AE678" s="155">
        <f>AD678</f>
        <v>5000</v>
      </c>
    </row>
    <row r="679" spans="1:31" ht="15" hidden="1" customHeight="1" x14ac:dyDescent="0.35">
      <c r="A679" s="215" t="s">
        <v>295</v>
      </c>
      <c r="B679" s="215" t="s">
        <v>720</v>
      </c>
      <c r="C679" s="215" t="s">
        <v>721</v>
      </c>
      <c r="D679" s="215" t="s">
        <v>420</v>
      </c>
      <c r="E679" s="215">
        <v>31</v>
      </c>
      <c r="F679" s="215" t="s">
        <v>45</v>
      </c>
      <c r="H679" s="50" t="s">
        <v>88</v>
      </c>
      <c r="I679" s="134">
        <v>35</v>
      </c>
      <c r="J679" s="134">
        <f>I679*I681</f>
        <v>48.700395168920799</v>
      </c>
      <c r="K679" s="149">
        <f>J679-K654</f>
        <v>40.700395168920799</v>
      </c>
      <c r="M679" s="50" t="s">
        <v>88</v>
      </c>
      <c r="N679" s="134">
        <v>35</v>
      </c>
      <c r="O679" s="134">
        <f>N679*N681</f>
        <v>48.700395168920799</v>
      </c>
      <c r="P679" s="149">
        <f>O679-P654</f>
        <v>40.700395168920799</v>
      </c>
      <c r="R679" s="50" t="s">
        <v>88</v>
      </c>
      <c r="S679" s="134">
        <v>500</v>
      </c>
      <c r="T679" s="134">
        <f>S679*S681</f>
        <v>750</v>
      </c>
      <c r="U679" s="149">
        <f>T679-U$654</f>
        <v>742</v>
      </c>
      <c r="W679" s="50" t="s">
        <v>88</v>
      </c>
      <c r="X679" s="134">
        <v>35</v>
      </c>
      <c r="Y679" s="134">
        <f>X679*X681</f>
        <v>48.700395168920799</v>
      </c>
      <c r="Z679" s="149">
        <f>Y679-Z654</f>
        <v>40.700395168920799</v>
      </c>
      <c r="AB679" s="50" t="s">
        <v>88</v>
      </c>
      <c r="AC679" s="134">
        <v>35</v>
      </c>
      <c r="AD679" s="134">
        <f>AC679*AC681</f>
        <v>48.700395168920799</v>
      </c>
      <c r="AE679" s="149">
        <f>AD679-AE654</f>
        <v>40.700395168920799</v>
      </c>
    </row>
    <row r="680" spans="1:31" hidden="1" x14ac:dyDescent="0.35">
      <c r="A680" s="215" t="s">
        <v>295</v>
      </c>
      <c r="B680" s="215" t="s">
        <v>720</v>
      </c>
      <c r="C680" s="215" t="s">
        <v>721</v>
      </c>
      <c r="D680" s="215" t="s">
        <v>420</v>
      </c>
      <c r="E680" s="215">
        <v>32</v>
      </c>
      <c r="F680" s="215" t="s">
        <v>45</v>
      </c>
      <c r="H680" s="62" t="s">
        <v>89</v>
      </c>
      <c r="I680" s="72">
        <v>0.03</v>
      </c>
      <c r="J680" s="72">
        <f>IF(J681="1.25m",($I680*I681)-(SUM(QuadCoreMass,CS125Mass)*I681),$I680*I681)</f>
        <v>4.1743195859074968E-2</v>
      </c>
      <c r="K680" s="150">
        <f>J680-K655</f>
        <v>3.674319585907497E-2</v>
      </c>
      <c r="M680" s="62" t="s">
        <v>89</v>
      </c>
      <c r="N680" s="72">
        <v>0.03</v>
      </c>
      <c r="O680" s="72">
        <f>IF(O681="1.25m",($I680*N681)-(SUM(QuadCoreMass,CS125Mass)*N681),$I680*N681)</f>
        <v>4.1743195859074968E-2</v>
      </c>
      <c r="P680" s="150">
        <f>O680-P655</f>
        <v>3.674319585907497E-2</v>
      </c>
      <c r="R680" s="62" t="s">
        <v>89</v>
      </c>
      <c r="S680" s="72">
        <v>3.0000000000000001E-3</v>
      </c>
      <c r="T680" s="72">
        <f>S680*S681</f>
        <v>4.5000000000000005E-3</v>
      </c>
      <c r="U680" s="150">
        <f>T680-U$655</f>
        <v>3.5000000000000005E-3</v>
      </c>
      <c r="W680" s="62" t="s">
        <v>89</v>
      </c>
      <c r="X680" s="72">
        <v>0.03</v>
      </c>
      <c r="Y680" s="72">
        <f>IF(Y681="1.25m",($I680*X681)-(SUM(QuadCoreMass,CS125Mass)*X681),$I680*X681)</f>
        <v>4.1743195859074968E-2</v>
      </c>
      <c r="Z680" s="150">
        <f>Y680-Z655</f>
        <v>3.4743195859074968E-2</v>
      </c>
      <c r="AB680" s="62" t="s">
        <v>89</v>
      </c>
      <c r="AC680" s="72">
        <v>0.03</v>
      </c>
      <c r="AD680" s="72">
        <f>IF(AD681="1.25m",($I680*AC681)-(SUM(QuadCoreMass,CS125Mass)*AC681),$I680*AC681)</f>
        <v>4.1743195859074968E-2</v>
      </c>
      <c r="AE680" s="150">
        <f>AD680-AE655</f>
        <v>2.1743195859074967E-2</v>
      </c>
    </row>
    <row r="681" spans="1:31" hidden="1" x14ac:dyDescent="0.35">
      <c r="A681" s="215" t="s">
        <v>295</v>
      </c>
      <c r="B681" s="215" t="s">
        <v>720</v>
      </c>
      <c r="C681" s="215" t="s">
        <v>721</v>
      </c>
      <c r="D681" s="215" t="s">
        <v>420</v>
      </c>
      <c r="E681" s="215">
        <v>33</v>
      </c>
      <c r="F681" s="215" t="s">
        <v>45</v>
      </c>
      <c r="H681" s="230" t="s">
        <v>303</v>
      </c>
      <c r="I681" s="135">
        <v>1.3914398619691657</v>
      </c>
      <c r="J681" s="114"/>
      <c r="K681" s="134"/>
      <c r="M681" s="33" t="s">
        <v>303</v>
      </c>
      <c r="N681" s="135">
        <v>1.3914398619691657</v>
      </c>
      <c r="P681"/>
      <c r="R681" s="33" t="s">
        <v>303</v>
      </c>
      <c r="S681" s="135">
        <v>1.5</v>
      </c>
      <c r="U681"/>
      <c r="W681" s="33" t="s">
        <v>303</v>
      </c>
      <c r="X681" s="135">
        <v>1.3914398619691657</v>
      </c>
      <c r="Z681"/>
      <c r="AB681" s="33" t="s">
        <v>303</v>
      </c>
      <c r="AC681" s="135">
        <v>1.3914398619691657</v>
      </c>
      <c r="AE681"/>
    </row>
    <row r="682" spans="1:31" hidden="1" x14ac:dyDescent="0.35">
      <c r="A682" s="215" t="s">
        <v>295</v>
      </c>
      <c r="B682" s="215" t="s">
        <v>720</v>
      </c>
      <c r="C682" s="215" t="s">
        <v>721</v>
      </c>
      <c r="D682" s="215" t="s">
        <v>420</v>
      </c>
      <c r="E682" s="215">
        <v>34</v>
      </c>
      <c r="F682" s="215" t="s">
        <v>45</v>
      </c>
      <c r="I682" s="114"/>
      <c r="J682" s="114"/>
    </row>
    <row r="683" spans="1:31" s="16" customFormat="1" ht="18.5" hidden="1" x14ac:dyDescent="0.45">
      <c r="A683" s="219" t="s">
        <v>295</v>
      </c>
      <c r="B683" s="219" t="s">
        <v>720</v>
      </c>
      <c r="C683" s="219" t="s">
        <v>721</v>
      </c>
      <c r="D683" s="219" t="s">
        <v>420</v>
      </c>
      <c r="E683" s="219">
        <v>35</v>
      </c>
      <c r="F683" s="219" t="s">
        <v>45</v>
      </c>
      <c r="G683" s="189"/>
      <c r="H683" s="114" t="s">
        <v>399</v>
      </c>
      <c r="I683" s="114" t="s">
        <v>23</v>
      </c>
      <c r="J683" s="114"/>
      <c r="K683" s="114"/>
      <c r="L683" s="189"/>
      <c r="M683" s="114" t="s">
        <v>399</v>
      </c>
      <c r="N683" s="114" t="s">
        <v>23</v>
      </c>
      <c r="O683" s="114"/>
      <c r="P683" s="114"/>
      <c r="Q683" s="189"/>
      <c r="R683" s="114" t="s">
        <v>399</v>
      </c>
      <c r="S683" s="114" t="s">
        <v>23</v>
      </c>
      <c r="T683" s="114"/>
      <c r="U683" s="114"/>
      <c r="V683" s="189"/>
      <c r="W683" s="114" t="s">
        <v>399</v>
      </c>
      <c r="X683" s="114" t="s">
        <v>23</v>
      </c>
      <c r="Y683" s="114"/>
      <c r="Z683" s="114"/>
      <c r="AA683" s="189"/>
      <c r="AB683" s="114" t="s">
        <v>399</v>
      </c>
      <c r="AC683" s="114" t="s">
        <v>23</v>
      </c>
      <c r="AD683" s="114"/>
      <c r="AE683" s="114"/>
    </row>
    <row r="684" spans="1:31" hidden="1" x14ac:dyDescent="0.35">
      <c r="A684" s="215" t="s">
        <v>295</v>
      </c>
      <c r="B684" s="215" t="s">
        <v>720</v>
      </c>
      <c r="C684" s="215" t="s">
        <v>721</v>
      </c>
      <c r="D684" s="215" t="s">
        <v>420</v>
      </c>
      <c r="E684" s="215">
        <v>36</v>
      </c>
      <c r="F684" s="215" t="s">
        <v>45</v>
      </c>
      <c r="H684" s="114" t="s">
        <v>535</v>
      </c>
      <c r="I684" s="114" t="s">
        <v>345</v>
      </c>
      <c r="J684" s="114"/>
      <c r="K684" s="114"/>
      <c r="M684" s="114" t="s">
        <v>535</v>
      </c>
      <c r="N684" s="114" t="s">
        <v>345</v>
      </c>
      <c r="O684" s="114"/>
      <c r="P684" s="114"/>
      <c r="R684" s="204" t="s">
        <v>535</v>
      </c>
      <c r="S684" s="204" t="s">
        <v>723</v>
      </c>
      <c r="W684" s="114" t="s">
        <v>535</v>
      </c>
      <c r="X684" s="114" t="s">
        <v>345</v>
      </c>
      <c r="Y684" s="114"/>
      <c r="Z684" s="114"/>
      <c r="AB684" s="114" t="s">
        <v>535</v>
      </c>
      <c r="AC684" s="114" t="s">
        <v>345</v>
      </c>
      <c r="AD684" s="114"/>
      <c r="AE684" s="114"/>
    </row>
    <row r="685" spans="1:31" hidden="1" x14ac:dyDescent="0.35">
      <c r="A685" s="215" t="s">
        <v>295</v>
      </c>
      <c r="B685" s="215" t="s">
        <v>720</v>
      </c>
      <c r="C685" s="215" t="s">
        <v>721</v>
      </c>
      <c r="D685" s="215" t="s">
        <v>420</v>
      </c>
      <c r="E685" s="215">
        <v>37</v>
      </c>
      <c r="F685" s="215" t="s">
        <v>45</v>
      </c>
      <c r="H685" s="139" t="s">
        <v>300</v>
      </c>
      <c r="I685" s="140" t="s">
        <v>541</v>
      </c>
      <c r="J685" s="140" t="s">
        <v>302</v>
      </c>
      <c r="K685" s="141" t="s">
        <v>542</v>
      </c>
      <c r="M685" s="139" t="s">
        <v>300</v>
      </c>
      <c r="N685" s="140" t="s">
        <v>541</v>
      </c>
      <c r="O685" s="140" t="s">
        <v>302</v>
      </c>
      <c r="P685" s="141" t="s">
        <v>542</v>
      </c>
      <c r="R685" s="139" t="s">
        <v>300</v>
      </c>
      <c r="S685" s="140" t="s">
        <v>541</v>
      </c>
      <c r="T685" s="140" t="s">
        <v>302</v>
      </c>
      <c r="U685" s="141" t="s">
        <v>542</v>
      </c>
      <c r="W685" s="139" t="s">
        <v>300</v>
      </c>
      <c r="X685" s="140" t="s">
        <v>541</v>
      </c>
      <c r="Y685" s="140" t="s">
        <v>302</v>
      </c>
      <c r="Z685" s="141" t="s">
        <v>542</v>
      </c>
      <c r="AB685" s="139" t="s">
        <v>300</v>
      </c>
      <c r="AC685" s="140" t="s">
        <v>541</v>
      </c>
      <c r="AD685" s="140" t="s">
        <v>302</v>
      </c>
      <c r="AE685" s="141" t="s">
        <v>542</v>
      </c>
    </row>
    <row r="686" spans="1:31" hidden="1" x14ac:dyDescent="0.35">
      <c r="A686" s="215" t="s">
        <v>295</v>
      </c>
      <c r="B686" s="215" t="s">
        <v>720</v>
      </c>
      <c r="C686" s="215" t="s">
        <v>721</v>
      </c>
      <c r="D686" s="215" t="s">
        <v>420</v>
      </c>
      <c r="E686" s="215">
        <v>38</v>
      </c>
      <c r="F686" s="215" t="s">
        <v>45</v>
      </c>
      <c r="H686" s="62" t="s">
        <v>23</v>
      </c>
      <c r="I686" s="72">
        <v>3593.4</v>
      </c>
      <c r="J686" s="72">
        <f>I686*I689</f>
        <v>5000</v>
      </c>
      <c r="K686" s="155">
        <f>J686</f>
        <v>5000</v>
      </c>
      <c r="M686" s="62" t="s">
        <v>23</v>
      </c>
      <c r="N686" s="72">
        <v>3593.4</v>
      </c>
      <c r="O686" s="72">
        <f>N686*N689</f>
        <v>5000</v>
      </c>
      <c r="P686" s="155">
        <f>O686</f>
        <v>5000</v>
      </c>
      <c r="R686" s="50" t="s">
        <v>23</v>
      </c>
      <c r="S686" s="134">
        <v>1700</v>
      </c>
      <c r="T686" s="134">
        <f>S686*S689</f>
        <v>2550</v>
      </c>
      <c r="U686" s="153">
        <f>T686</f>
        <v>2550</v>
      </c>
      <c r="W686" s="62" t="s">
        <v>23</v>
      </c>
      <c r="X686" s="72">
        <v>3593.4</v>
      </c>
      <c r="Y686" s="72">
        <f>X686*X689</f>
        <v>5000</v>
      </c>
      <c r="Z686" s="155">
        <f>Y686</f>
        <v>5000</v>
      </c>
      <c r="AB686" s="62" t="s">
        <v>23</v>
      </c>
      <c r="AC686" s="72">
        <v>3593.4</v>
      </c>
      <c r="AD686" s="72">
        <f>AC686*AC689</f>
        <v>5000</v>
      </c>
      <c r="AE686" s="155">
        <f>AD686</f>
        <v>5000</v>
      </c>
    </row>
    <row r="687" spans="1:31" ht="15" hidden="1" customHeight="1" x14ac:dyDescent="0.35">
      <c r="A687" s="215" t="s">
        <v>295</v>
      </c>
      <c r="B687" s="215" t="s">
        <v>720</v>
      </c>
      <c r="C687" s="215" t="s">
        <v>721</v>
      </c>
      <c r="D687" s="215" t="s">
        <v>420</v>
      </c>
      <c r="E687" s="215">
        <v>39</v>
      </c>
      <c r="F687" s="215" t="s">
        <v>45</v>
      </c>
      <c r="H687" s="50" t="s">
        <v>88</v>
      </c>
      <c r="I687" s="134">
        <v>35</v>
      </c>
      <c r="J687" s="134">
        <f>I687*I689</f>
        <v>48.700395168920799</v>
      </c>
      <c r="K687" s="149">
        <f>J687-K654</f>
        <v>40.700395168920799</v>
      </c>
      <c r="M687" s="50" t="s">
        <v>88</v>
      </c>
      <c r="N687" s="134">
        <v>35</v>
      </c>
      <c r="O687" s="134">
        <f>N687*N689</f>
        <v>48.700395168920799</v>
      </c>
      <c r="P687" s="149">
        <f>O687-P654</f>
        <v>40.700395168920799</v>
      </c>
      <c r="R687" s="50" t="s">
        <v>88</v>
      </c>
      <c r="S687" s="134">
        <v>500</v>
      </c>
      <c r="T687" s="134">
        <f>S687*S689</f>
        <v>750</v>
      </c>
      <c r="U687" s="149">
        <f>T687-U$654</f>
        <v>742</v>
      </c>
      <c r="W687" s="50" t="s">
        <v>88</v>
      </c>
      <c r="X687" s="134">
        <v>35</v>
      </c>
      <c r="Y687" s="134">
        <f>X687*X689</f>
        <v>48.700395168920799</v>
      </c>
      <c r="Z687" s="149">
        <f>Y687-Z654</f>
        <v>40.700395168920799</v>
      </c>
      <c r="AB687" s="50" t="s">
        <v>88</v>
      </c>
      <c r="AC687" s="134">
        <v>35</v>
      </c>
      <c r="AD687" s="134">
        <f>AC687*AC689</f>
        <v>48.700395168920799</v>
      </c>
      <c r="AE687" s="149">
        <f>AD687-AE654</f>
        <v>40.700395168920799</v>
      </c>
    </row>
    <row r="688" spans="1:31" hidden="1" x14ac:dyDescent="0.35">
      <c r="A688" s="215" t="s">
        <v>295</v>
      </c>
      <c r="B688" s="215" t="s">
        <v>720</v>
      </c>
      <c r="C688" s="215" t="s">
        <v>721</v>
      </c>
      <c r="D688" s="215" t="s">
        <v>420</v>
      </c>
      <c r="E688" s="215">
        <v>40</v>
      </c>
      <c r="F688" s="215" t="s">
        <v>45</v>
      </c>
      <c r="H688" s="62" t="s">
        <v>89</v>
      </c>
      <c r="I688" s="72">
        <v>0.03</v>
      </c>
      <c r="J688" s="72">
        <f>IF(J689="1.25m",($I688*I689)-(SUM(QuadCoreMass,CS125Mass)*I689),$I688*I689)</f>
        <v>4.1743195859074968E-2</v>
      </c>
      <c r="K688" s="150">
        <f>J688-K655</f>
        <v>3.674319585907497E-2</v>
      </c>
      <c r="M688" s="62" t="s">
        <v>89</v>
      </c>
      <c r="N688" s="72">
        <v>0.03</v>
      </c>
      <c r="O688" s="72">
        <f>IF(O689="1.25m",($I688*N689)-(SUM(QuadCoreMass,CS125Mass)*N689),$I688*N689)</f>
        <v>4.1743195859074968E-2</v>
      </c>
      <c r="P688" s="150">
        <f>O688-P655</f>
        <v>3.674319585907497E-2</v>
      </c>
      <c r="R688" s="62" t="s">
        <v>89</v>
      </c>
      <c r="S688" s="72">
        <v>3.0000000000000001E-3</v>
      </c>
      <c r="T688" s="72">
        <f>S688*S689</f>
        <v>4.5000000000000005E-3</v>
      </c>
      <c r="U688" s="150">
        <f>T688-U$655</f>
        <v>3.5000000000000005E-3</v>
      </c>
      <c r="W688" s="62" t="s">
        <v>89</v>
      </c>
      <c r="X688" s="72">
        <v>0.03</v>
      </c>
      <c r="Y688" s="72">
        <f>IF(Y689="1.25m",($I688*X689)-(SUM(QuadCoreMass,CS125Mass)*X689),$I688*X689)</f>
        <v>4.1743195859074968E-2</v>
      </c>
      <c r="Z688" s="150">
        <f>Y688-Z655</f>
        <v>3.4743195859074968E-2</v>
      </c>
      <c r="AB688" s="62" t="s">
        <v>89</v>
      </c>
      <c r="AC688" s="72">
        <v>0.03</v>
      </c>
      <c r="AD688" s="72">
        <f>IF(AD689="1.25m",($I688*AC689)-(SUM(QuadCoreMass,CS125Mass)*AC689),$I688*AC689)</f>
        <v>4.1743195859074968E-2</v>
      </c>
      <c r="AE688" s="150">
        <f>AD688-AE655</f>
        <v>2.1743195859074967E-2</v>
      </c>
    </row>
    <row r="689" spans="1:31" hidden="1" x14ac:dyDescent="0.35">
      <c r="A689" s="215" t="s">
        <v>295</v>
      </c>
      <c r="B689" s="215" t="s">
        <v>720</v>
      </c>
      <c r="C689" s="215" t="s">
        <v>721</v>
      </c>
      <c r="D689" s="215" t="s">
        <v>420</v>
      </c>
      <c r="E689" s="215">
        <v>41</v>
      </c>
      <c r="F689" s="215" t="s">
        <v>45</v>
      </c>
      <c r="H689" s="230" t="s">
        <v>303</v>
      </c>
      <c r="I689" s="135">
        <v>1.3914398619691657</v>
      </c>
      <c r="K689" s="134"/>
      <c r="M689" s="33" t="s">
        <v>303</v>
      </c>
      <c r="N689" s="135">
        <v>1.3914398619691657</v>
      </c>
      <c r="P689"/>
      <c r="R689" s="33" t="s">
        <v>303</v>
      </c>
      <c r="S689" s="135">
        <v>1.5</v>
      </c>
      <c r="U689"/>
      <c r="W689" s="33" t="s">
        <v>303</v>
      </c>
      <c r="X689" s="135">
        <v>1.3914398619691657</v>
      </c>
      <c r="Z689"/>
      <c r="AB689" s="33" t="s">
        <v>303</v>
      </c>
      <c r="AC689" s="135">
        <v>1.3914398619691657</v>
      </c>
      <c r="AE689"/>
    </row>
    <row r="690" spans="1:31" hidden="1" x14ac:dyDescent="0.35">
      <c r="A690" s="215" t="s">
        <v>295</v>
      </c>
      <c r="B690" s="215" t="s">
        <v>720</v>
      </c>
      <c r="C690" s="215" t="s">
        <v>721</v>
      </c>
      <c r="D690" s="215" t="s">
        <v>420</v>
      </c>
      <c r="E690" s="215">
        <v>42</v>
      </c>
      <c r="F690" s="215" t="s">
        <v>45</v>
      </c>
      <c r="H690" s="114"/>
      <c r="I690" s="114"/>
      <c r="J690" s="114"/>
      <c r="K690" s="114"/>
    </row>
    <row r="691" spans="1:31" s="16" customFormat="1" ht="18.5" hidden="1" x14ac:dyDescent="0.45">
      <c r="A691" s="215" t="s">
        <v>295</v>
      </c>
      <c r="B691" s="215" t="s">
        <v>720</v>
      </c>
      <c r="C691" s="215" t="s">
        <v>721</v>
      </c>
      <c r="D691" s="215" t="s">
        <v>420</v>
      </c>
      <c r="E691" s="215">
        <v>43</v>
      </c>
      <c r="F691" s="215" t="s">
        <v>45</v>
      </c>
      <c r="I691" s="189"/>
      <c r="J691" s="189"/>
      <c r="M691" s="204" t="s">
        <v>399</v>
      </c>
      <c r="N691" s="204" t="s">
        <v>73</v>
      </c>
      <c r="O691" s="204"/>
      <c r="P691" s="204"/>
      <c r="R691" s="204" t="s">
        <v>399</v>
      </c>
      <c r="S691" s="204" t="s">
        <v>73</v>
      </c>
      <c r="T691" s="204"/>
      <c r="U691" s="204"/>
      <c r="W691" s="204" t="s">
        <v>399</v>
      </c>
      <c r="X691" s="204" t="s">
        <v>279</v>
      </c>
      <c r="Y691" s="204"/>
      <c r="Z691" s="204"/>
      <c r="AB691" s="204" t="s">
        <v>399</v>
      </c>
      <c r="AC691" s="204" t="s">
        <v>262</v>
      </c>
      <c r="AD691" s="204"/>
      <c r="AE691" s="204"/>
    </row>
    <row r="692" spans="1:31" hidden="1" x14ac:dyDescent="0.35">
      <c r="A692" s="219" t="s">
        <v>295</v>
      </c>
      <c r="B692" s="219" t="s">
        <v>720</v>
      </c>
      <c r="C692" s="219" t="s">
        <v>721</v>
      </c>
      <c r="D692" s="219" t="s">
        <v>420</v>
      </c>
      <c r="E692" s="219">
        <v>44</v>
      </c>
      <c r="F692" s="219" t="s">
        <v>45</v>
      </c>
      <c r="G692" s="114"/>
      <c r="H692" s="114"/>
      <c r="I692" s="114"/>
      <c r="J692" s="114"/>
      <c r="K692" s="114"/>
      <c r="L692" s="114"/>
      <c r="M692" s="114" t="s">
        <v>535</v>
      </c>
      <c r="N692" s="114" t="s">
        <v>350</v>
      </c>
      <c r="O692" s="114"/>
      <c r="P692" s="114"/>
      <c r="Q692" s="114"/>
      <c r="R692" s="114" t="s">
        <v>535</v>
      </c>
      <c r="S692" s="114" t="s">
        <v>351</v>
      </c>
      <c r="T692" s="114"/>
      <c r="U692" s="114"/>
      <c r="V692" s="114"/>
      <c r="W692" s="114" t="s">
        <v>535</v>
      </c>
      <c r="X692" s="114" t="s">
        <v>352</v>
      </c>
      <c r="Y692" s="114"/>
      <c r="Z692" s="114"/>
      <c r="AA692" s="114"/>
      <c r="AB692" s="114" t="s">
        <v>535</v>
      </c>
      <c r="AC692" s="114" t="s">
        <v>353</v>
      </c>
      <c r="AD692" s="114"/>
      <c r="AE692" s="114"/>
    </row>
    <row r="693" spans="1:31" hidden="1" x14ac:dyDescent="0.35">
      <c r="A693" s="215" t="s">
        <v>295</v>
      </c>
      <c r="B693" s="215" t="s">
        <v>720</v>
      </c>
      <c r="C693" s="215" t="s">
        <v>721</v>
      </c>
      <c r="D693" s="215" t="s">
        <v>420</v>
      </c>
      <c r="E693" s="215">
        <v>45</v>
      </c>
      <c r="F693" s="215" t="s">
        <v>45</v>
      </c>
      <c r="M693" s="139" t="s">
        <v>300</v>
      </c>
      <c r="N693" s="140" t="s">
        <v>541</v>
      </c>
      <c r="O693" s="140" t="s">
        <v>302</v>
      </c>
      <c r="P693" s="141" t="s">
        <v>542</v>
      </c>
      <c r="R693" s="139" t="s">
        <v>300</v>
      </c>
      <c r="S693" s="140" t="s">
        <v>541</v>
      </c>
      <c r="T693" s="140" t="s">
        <v>302</v>
      </c>
      <c r="U693" s="141" t="s">
        <v>542</v>
      </c>
      <c r="W693" s="139" t="s">
        <v>300</v>
      </c>
      <c r="X693" s="140" t="s">
        <v>541</v>
      </c>
      <c r="Y693" s="140" t="s">
        <v>302</v>
      </c>
      <c r="Z693" s="141" t="s">
        <v>542</v>
      </c>
      <c r="AB693" s="139" t="s">
        <v>300</v>
      </c>
      <c r="AC693" s="140" t="s">
        <v>529</v>
      </c>
      <c r="AD693" s="140" t="s">
        <v>302</v>
      </c>
      <c r="AE693" s="141" t="s">
        <v>542</v>
      </c>
    </row>
    <row r="694" spans="1:31" hidden="1" x14ac:dyDescent="0.35">
      <c r="A694" s="215" t="s">
        <v>295</v>
      </c>
      <c r="B694" s="215" t="s">
        <v>720</v>
      </c>
      <c r="C694" s="215" t="s">
        <v>721</v>
      </c>
      <c r="D694" s="215" t="s">
        <v>420</v>
      </c>
      <c r="E694" s="215">
        <v>46</v>
      </c>
      <c r="F694" s="215" t="s">
        <v>45</v>
      </c>
      <c r="M694" s="62" t="s">
        <v>73</v>
      </c>
      <c r="N694" s="72">
        <v>16.2</v>
      </c>
      <c r="O694" s="72">
        <f>N694*N697</f>
        <v>14.58</v>
      </c>
      <c r="P694" s="155">
        <f>O694</f>
        <v>14.58</v>
      </c>
      <c r="R694" s="50" t="s">
        <v>73</v>
      </c>
      <c r="S694" s="134">
        <v>10</v>
      </c>
      <c r="T694" s="134">
        <f>S694*S697</f>
        <v>12</v>
      </c>
      <c r="U694" s="153">
        <f>T694</f>
        <v>12</v>
      </c>
      <c r="W694" s="62" t="s">
        <v>279</v>
      </c>
      <c r="X694" s="72">
        <v>150</v>
      </c>
      <c r="Y694" s="72">
        <f>X694*X697</f>
        <v>75</v>
      </c>
      <c r="Z694" s="155">
        <f>Y694</f>
        <v>75</v>
      </c>
      <c r="AB694" s="62" t="s">
        <v>262</v>
      </c>
      <c r="AC694" s="72">
        <v>100</v>
      </c>
      <c r="AD694" s="72">
        <f>AC694*AC697</f>
        <v>200</v>
      </c>
      <c r="AE694" s="155">
        <f>AD694</f>
        <v>200</v>
      </c>
    </row>
    <row r="695" spans="1:31" hidden="1" x14ac:dyDescent="0.35">
      <c r="A695" s="215" t="s">
        <v>295</v>
      </c>
      <c r="B695" s="215" t="s">
        <v>720</v>
      </c>
      <c r="C695" s="215" t="s">
        <v>721</v>
      </c>
      <c r="D695" s="215" t="s">
        <v>420</v>
      </c>
      <c r="E695" s="215">
        <v>47</v>
      </c>
      <c r="F695" s="215" t="s">
        <v>45</v>
      </c>
      <c r="M695" s="50" t="s">
        <v>88</v>
      </c>
      <c r="N695" s="134">
        <v>35</v>
      </c>
      <c r="O695" s="134">
        <f>N695*N697</f>
        <v>31.5</v>
      </c>
      <c r="P695" s="149">
        <f>O695</f>
        <v>31.5</v>
      </c>
      <c r="R695" s="50" t="s">
        <v>88</v>
      </c>
      <c r="S695" s="134">
        <v>300</v>
      </c>
      <c r="T695" s="134">
        <f>S695*S697</f>
        <v>360</v>
      </c>
      <c r="U695" s="149">
        <f>T695-U$654</f>
        <v>352</v>
      </c>
      <c r="W695" s="50" t="s">
        <v>88</v>
      </c>
      <c r="X695" s="134">
        <v>450</v>
      </c>
      <c r="Y695" s="134">
        <f>X695*X697</f>
        <v>225</v>
      </c>
      <c r="Z695" s="149">
        <f>Y695-Z654</f>
        <v>217</v>
      </c>
      <c r="AB695" s="50" t="s">
        <v>88</v>
      </c>
      <c r="AC695" s="134">
        <v>100</v>
      </c>
      <c r="AD695" s="134">
        <f>AC695*AC697</f>
        <v>200</v>
      </c>
      <c r="AE695" s="149">
        <f>AD695-AE654</f>
        <v>192</v>
      </c>
    </row>
    <row r="696" spans="1:31" hidden="1" x14ac:dyDescent="0.35">
      <c r="A696" s="215" t="s">
        <v>295</v>
      </c>
      <c r="B696" s="215" t="s">
        <v>720</v>
      </c>
      <c r="C696" s="215" t="s">
        <v>721</v>
      </c>
      <c r="D696" s="215" t="s">
        <v>420</v>
      </c>
      <c r="E696" s="215">
        <v>48</v>
      </c>
      <c r="F696" s="215" t="s">
        <v>45</v>
      </c>
      <c r="M696" s="62" t="s">
        <v>89</v>
      </c>
      <c r="N696" s="72">
        <v>0.03</v>
      </c>
      <c r="O696" s="72">
        <f>IF(O697="1.25m",(N696*N697)-(SUM(QuadCoreMass,CS125Mass)*N697),N696*N697)</f>
        <v>2.7E-2</v>
      </c>
      <c r="P696" s="150">
        <f>O696</f>
        <v>2.7E-2</v>
      </c>
      <c r="R696" s="62" t="s">
        <v>89</v>
      </c>
      <c r="S696" s="72">
        <v>1E-3</v>
      </c>
      <c r="T696" s="72">
        <f>S696*S697</f>
        <v>1.1999999999999999E-3</v>
      </c>
      <c r="U696" s="150">
        <f>T696-U$655</f>
        <v>1.9999999999999987E-4</v>
      </c>
      <c r="W696" s="62" t="s">
        <v>89</v>
      </c>
      <c r="X696" s="72">
        <v>1.4999999999999999E-2</v>
      </c>
      <c r="Y696" s="72">
        <f>X696*X697</f>
        <v>7.4999999999999997E-3</v>
      </c>
      <c r="Z696" s="150">
        <f>Y696-Z655</f>
        <v>4.9999999999999958E-4</v>
      </c>
      <c r="AB696" s="62" t="s">
        <v>89</v>
      </c>
      <c r="AC696" s="72">
        <v>0.02</v>
      </c>
      <c r="AD696" s="72">
        <f>AC696*AC697</f>
        <v>0.04</v>
      </c>
      <c r="AE696" s="150">
        <f>AD696-AE655</f>
        <v>0.02</v>
      </c>
    </row>
    <row r="697" spans="1:31" ht="15" hidden="1" customHeight="1" x14ac:dyDescent="0.35">
      <c r="A697" s="215" t="s">
        <v>295</v>
      </c>
      <c r="B697" s="215" t="s">
        <v>720</v>
      </c>
      <c r="C697" s="215" t="s">
        <v>721</v>
      </c>
      <c r="D697" s="215" t="s">
        <v>420</v>
      </c>
      <c r="E697" s="215">
        <v>49</v>
      </c>
      <c r="F697" s="215" t="s">
        <v>45</v>
      </c>
      <c r="H697" s="114"/>
      <c r="I697" s="114"/>
      <c r="J697" s="114"/>
      <c r="K697" s="114"/>
      <c r="M697" s="33" t="s">
        <v>303</v>
      </c>
      <c r="N697" s="135">
        <v>0.9</v>
      </c>
      <c r="P697"/>
      <c r="R697" s="33" t="s">
        <v>303</v>
      </c>
      <c r="S697" s="135">
        <v>1.2</v>
      </c>
      <c r="U697"/>
      <c r="W697" s="33" t="s">
        <v>303</v>
      </c>
      <c r="X697" s="135">
        <v>0.5</v>
      </c>
      <c r="Z697"/>
      <c r="AB697" s="33" t="s">
        <v>303</v>
      </c>
      <c r="AC697" s="135">
        <v>2</v>
      </c>
      <c r="AE697"/>
    </row>
    <row r="698" spans="1:31" hidden="1" x14ac:dyDescent="0.35">
      <c r="A698" s="215" t="s">
        <v>295</v>
      </c>
      <c r="B698" s="215" t="s">
        <v>720</v>
      </c>
      <c r="C698" s="215" t="s">
        <v>721</v>
      </c>
      <c r="D698" s="215" t="s">
        <v>420</v>
      </c>
      <c r="E698" s="215">
        <v>50</v>
      </c>
      <c r="F698" s="215" t="s">
        <v>45</v>
      </c>
      <c r="H698" s="114"/>
      <c r="K698" s="114"/>
    </row>
    <row r="699" spans="1:31" s="16" customFormat="1" ht="18.5" hidden="1" x14ac:dyDescent="0.45">
      <c r="A699" s="215" t="s">
        <v>295</v>
      </c>
      <c r="B699" s="215" t="s">
        <v>720</v>
      </c>
      <c r="C699" s="215" t="s">
        <v>721</v>
      </c>
      <c r="D699" s="215" t="s">
        <v>420</v>
      </c>
      <c r="E699" s="215">
        <v>51</v>
      </c>
      <c r="F699" s="215" t="s">
        <v>45</v>
      </c>
      <c r="H699" s="189"/>
      <c r="I699" s="189"/>
      <c r="J699" s="189"/>
      <c r="K699" s="189"/>
      <c r="M699" s="204" t="s">
        <v>399</v>
      </c>
      <c r="N699" s="204" t="s">
        <v>25</v>
      </c>
      <c r="O699" s="204"/>
      <c r="P699" s="204"/>
      <c r="R699" s="204" t="s">
        <v>399</v>
      </c>
      <c r="S699" s="204" t="s">
        <v>25</v>
      </c>
      <c r="T699" s="204"/>
      <c r="U699" s="204"/>
    </row>
    <row r="700" spans="1:31" hidden="1" x14ac:dyDescent="0.35">
      <c r="A700" s="215" t="s">
        <v>295</v>
      </c>
      <c r="B700" s="215" t="s">
        <v>720</v>
      </c>
      <c r="C700" s="215" t="s">
        <v>721</v>
      </c>
      <c r="D700" s="215" t="s">
        <v>420</v>
      </c>
      <c r="E700" s="215">
        <v>52</v>
      </c>
      <c r="F700" s="215" t="s">
        <v>45</v>
      </c>
      <c r="I700" s="114"/>
      <c r="J700" s="114"/>
      <c r="M700" s="204" t="s">
        <v>535</v>
      </c>
      <c r="N700" s="204" t="s">
        <v>350</v>
      </c>
      <c r="R700" s="204" t="s">
        <v>535</v>
      </c>
      <c r="S700" s="204" t="s">
        <v>351</v>
      </c>
    </row>
    <row r="701" spans="1:31" hidden="1" x14ac:dyDescent="0.35">
      <c r="A701" s="215" t="s">
        <v>295</v>
      </c>
      <c r="B701" s="215" t="s">
        <v>720</v>
      </c>
      <c r="C701" s="215" t="s">
        <v>721</v>
      </c>
      <c r="D701" s="215" t="s">
        <v>420</v>
      </c>
      <c r="E701" s="215">
        <v>53</v>
      </c>
      <c r="F701" s="215" t="s">
        <v>45</v>
      </c>
      <c r="M701" s="139" t="s">
        <v>300</v>
      </c>
      <c r="N701" s="140" t="s">
        <v>541</v>
      </c>
      <c r="O701" s="140" t="s">
        <v>302</v>
      </c>
      <c r="P701" s="141" t="s">
        <v>542</v>
      </c>
      <c r="R701" s="139" t="s">
        <v>300</v>
      </c>
      <c r="S701" s="140" t="s">
        <v>541</v>
      </c>
      <c r="T701" s="140" t="s">
        <v>302</v>
      </c>
      <c r="U701" s="141" t="s">
        <v>542</v>
      </c>
    </row>
    <row r="702" spans="1:31" hidden="1" x14ac:dyDescent="0.35">
      <c r="A702" s="215" t="s">
        <v>295</v>
      </c>
      <c r="B702" s="215" t="s">
        <v>720</v>
      </c>
      <c r="C702" s="215" t="s">
        <v>721</v>
      </c>
      <c r="D702" s="215" t="s">
        <v>420</v>
      </c>
      <c r="E702" s="215">
        <v>54</v>
      </c>
      <c r="F702" s="215" t="s">
        <v>45</v>
      </c>
      <c r="M702" s="62" t="s">
        <v>25</v>
      </c>
      <c r="N702" s="72">
        <v>16.2</v>
      </c>
      <c r="O702" s="72">
        <f>N702*N705</f>
        <v>14.58</v>
      </c>
      <c r="P702" s="155">
        <f>O702</f>
        <v>14.58</v>
      </c>
      <c r="R702" s="50" t="s">
        <v>25</v>
      </c>
      <c r="S702" s="134">
        <v>10</v>
      </c>
      <c r="T702" s="134">
        <f>S702*S705</f>
        <v>12</v>
      </c>
      <c r="U702" s="153">
        <f>T702</f>
        <v>12</v>
      </c>
    </row>
    <row r="703" spans="1:31" hidden="1" x14ac:dyDescent="0.35">
      <c r="A703" s="215" t="s">
        <v>295</v>
      </c>
      <c r="B703" s="215" t="s">
        <v>720</v>
      </c>
      <c r="C703" s="215" t="s">
        <v>721</v>
      </c>
      <c r="D703" s="215" t="s">
        <v>420</v>
      </c>
      <c r="E703" s="215">
        <v>55</v>
      </c>
      <c r="F703" s="215" t="s">
        <v>45</v>
      </c>
      <c r="M703" s="50" t="s">
        <v>88</v>
      </c>
      <c r="N703" s="134">
        <v>35</v>
      </c>
      <c r="O703" s="134">
        <f>N703*N705</f>
        <v>31.5</v>
      </c>
      <c r="P703" s="149">
        <f>O703</f>
        <v>31.5</v>
      </c>
      <c r="R703" s="50" t="s">
        <v>88</v>
      </c>
      <c r="S703" s="134">
        <v>300</v>
      </c>
      <c r="T703" s="134">
        <f>S703*S705</f>
        <v>360</v>
      </c>
      <c r="U703" s="149">
        <f>T703-U$654</f>
        <v>352</v>
      </c>
    </row>
    <row r="704" spans="1:31" hidden="1" x14ac:dyDescent="0.35">
      <c r="A704" s="215" t="s">
        <v>295</v>
      </c>
      <c r="B704" s="215" t="s">
        <v>720</v>
      </c>
      <c r="C704" s="215" t="s">
        <v>721</v>
      </c>
      <c r="D704" s="215" t="s">
        <v>420</v>
      </c>
      <c r="E704" s="215">
        <v>56</v>
      </c>
      <c r="F704" s="215" t="s">
        <v>45</v>
      </c>
      <c r="H704" s="114"/>
      <c r="I704" s="114"/>
      <c r="J704" s="114"/>
      <c r="K704" s="114"/>
      <c r="M704" s="62" t="s">
        <v>89</v>
      </c>
      <c r="N704" s="72">
        <v>0.03</v>
      </c>
      <c r="O704" s="72">
        <f>IF(O705="1.25m",(N704*N705)-(SUM(QuadCoreMass,CS125Mass)*N705),N704*N705)</f>
        <v>2.7E-2</v>
      </c>
      <c r="P704" s="150">
        <f>O704</f>
        <v>2.7E-2</v>
      </c>
      <c r="R704" s="62" t="s">
        <v>89</v>
      </c>
      <c r="S704" s="72">
        <v>1E-3</v>
      </c>
      <c r="T704" s="72">
        <f>S704*S705</f>
        <v>1.1999999999999999E-3</v>
      </c>
      <c r="U704" s="150">
        <f>T704-U$655</f>
        <v>1.9999999999999987E-4</v>
      </c>
    </row>
    <row r="705" spans="1:21" hidden="1" x14ac:dyDescent="0.35">
      <c r="A705" s="215" t="s">
        <v>295</v>
      </c>
      <c r="B705" s="215" t="s">
        <v>720</v>
      </c>
      <c r="C705" s="215" t="s">
        <v>721</v>
      </c>
      <c r="D705" s="215" t="s">
        <v>420</v>
      </c>
      <c r="E705" s="215">
        <v>57</v>
      </c>
      <c r="F705" s="215" t="s">
        <v>45</v>
      </c>
      <c r="H705" s="114"/>
      <c r="I705" s="114"/>
      <c r="J705" s="114"/>
      <c r="K705" s="114"/>
      <c r="M705" s="33" t="s">
        <v>303</v>
      </c>
      <c r="N705" s="135">
        <v>0.9</v>
      </c>
      <c r="P705"/>
      <c r="R705" s="33" t="s">
        <v>303</v>
      </c>
      <c r="S705" s="135">
        <v>1.2</v>
      </c>
      <c r="U705"/>
    </row>
    <row r="706" spans="1:21" s="124" customFormat="1" ht="15" hidden="1" collapsed="1" thickBot="1" x14ac:dyDescent="0.4">
      <c r="A706" s="216" t="s">
        <v>295</v>
      </c>
      <c r="B706" s="216" t="s">
        <v>720</v>
      </c>
      <c r="C706" s="216" t="s">
        <v>721</v>
      </c>
      <c r="D706" s="216" t="s">
        <v>420</v>
      </c>
      <c r="E706" s="216">
        <v>58</v>
      </c>
      <c r="F706" s="216" t="s">
        <v>45</v>
      </c>
    </row>
  </sheetData>
  <autoFilter ref="A2:F706" xr:uid="{822EB222-DAC6-4329-AF29-E6A7CFB40C8B}">
    <filterColumn colId="5">
      <filters>
        <filter val="Waste"/>
      </filters>
    </filterColumn>
  </autoFilter>
  <phoneticPr fontId="29" type="noConversion"/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Reference</vt:lpstr>
      <vt:lpstr>Fuel Cell</vt:lpstr>
      <vt:lpstr>Life Support FLow</vt:lpstr>
      <vt:lpstr>Sabatier</vt:lpstr>
      <vt:lpstr>Elektron</vt:lpstr>
      <vt:lpstr>Part Matrix</vt:lpstr>
      <vt:lpstr>Kerbal Consumption</vt:lpstr>
      <vt:lpstr>Resources</vt:lpstr>
      <vt:lpstr>Part Tables v1</vt:lpstr>
      <vt:lpstr>Part and Category</vt:lpstr>
      <vt:lpstr>Alt Part Tables</vt:lpstr>
      <vt:lpstr>USFuelSwitch Calc</vt:lpstr>
      <vt:lpstr>Heat and Efficiency</vt:lpstr>
      <vt:lpstr>Tank volume calculator</vt:lpstr>
      <vt:lpstr>Ratio Calc</vt:lpstr>
      <vt:lpstr>To Do list</vt:lpstr>
      <vt:lpstr>Part Tables</vt:lpstr>
      <vt:lpstr>CS125Mass</vt:lpstr>
      <vt:lpstr>FuelCell_Efficency</vt:lpstr>
      <vt:lpstr>FuelCell_Throttle</vt:lpstr>
      <vt:lpstr>PowerFactor</vt:lpstr>
      <vt:lpstr>QuadCoreMass</vt:lpstr>
      <vt:lpstr>Elektron!Sabatier_Efficency</vt:lpstr>
      <vt:lpstr>Sabatier_Efficency</vt:lpstr>
      <vt:lpstr>Elektron!Sabatier_Throttle</vt:lpstr>
      <vt:lpstr>Sabatier_Throttle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Paul Kingtiger</dc:creator>
  <cp:keywords/>
  <dc:description/>
  <cp:lastModifiedBy>Trevor Kollmann</cp:lastModifiedBy>
  <cp:revision/>
  <dcterms:created xsi:type="dcterms:W3CDTF">2018-11-10T12:04:48Z</dcterms:created>
  <dcterms:modified xsi:type="dcterms:W3CDTF">2020-09-14T09:41:32Z</dcterms:modified>
  <cp:category/>
  <cp:contentStatus/>
</cp:coreProperties>
</file>